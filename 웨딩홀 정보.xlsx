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kimdohyeon/Desktop/결혼식/"/>
    </mc:Choice>
  </mc:AlternateContent>
  <xr:revisionPtr revIDLastSave="0" documentId="13_ncr:1_{FA4D7C9E-FF21-7C48-AD32-14292F1B4D8B}" xr6:coauthVersionLast="47" xr6:coauthVersionMax="47" xr10:uidLastSave="{00000000-0000-0000-0000-000000000000}"/>
  <bookViews>
    <workbookView xWindow="0" yWindow="600" windowWidth="28800" windowHeight="16060" activeTab="2" xr2:uid="{00000000-000D-0000-FFFF-FFFF00000000}"/>
  </bookViews>
  <sheets>
    <sheet name="README" sheetId="1" r:id="rId1"/>
    <sheet name="Dashboard" sheetId="2" r:id="rId2"/>
    <sheet name="Master_60" sheetId="3" r:id="rId3"/>
    <sheet name="Shortlist" sheetId="4" r:id="rId4"/>
    <sheet name="Map_View" sheetId="5" r:id="rId5"/>
    <sheet name="District_Centers" sheetId="6" state="hidden" r:id="rId6"/>
    <sheet name="Assumptions" sheetId="7" r:id="rId7"/>
    <sheet name="Budget_Simulator" sheetId="8" r:id="rId8"/>
    <sheet name="Summary" sheetId="9" r:id="rId9"/>
  </sheets>
  <definedNames>
    <definedName name="_xlnm._FilterDatabase" localSheetId="2" hidden="1">Master_60!$A$1:$AH$46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47" i="3" l="1"/>
  <c r="AJ47" i="3"/>
  <c r="AC47" i="3"/>
  <c r="AM47" i="3" s="1"/>
  <c r="V47" i="3"/>
  <c r="AU47" i="3" s="1"/>
  <c r="AP37" i="3"/>
  <c r="AO37" i="3"/>
  <c r="AN37" i="3"/>
  <c r="AK37" i="3"/>
  <c r="AJ37" i="3"/>
  <c r="AC37" i="3"/>
  <c r="AM37" i="3" s="1"/>
  <c r="V37" i="3"/>
  <c r="AD37" i="3" s="1"/>
  <c r="AU37" i="3" s="1"/>
  <c r="B9" i="9"/>
  <c r="B8" i="9"/>
  <c r="B7" i="9"/>
  <c r="B6" i="9"/>
  <c r="B10" i="8"/>
  <c r="B11" i="8" s="1"/>
  <c r="B12" i="8" s="1"/>
  <c r="D66" i="5"/>
  <c r="C66" i="5"/>
  <c r="B66" i="5"/>
  <c r="A66" i="5"/>
  <c r="D65" i="5"/>
  <c r="C65" i="5"/>
  <c r="B65" i="5"/>
  <c r="A65" i="5"/>
  <c r="D64" i="5"/>
  <c r="C64" i="5"/>
  <c r="B64" i="5"/>
  <c r="A64" i="5"/>
  <c r="D63" i="5"/>
  <c r="C63" i="5"/>
  <c r="B63" i="5"/>
  <c r="A63" i="5"/>
  <c r="D62" i="5"/>
  <c r="C62" i="5"/>
  <c r="B62" i="5"/>
  <c r="A62" i="5"/>
  <c r="D61" i="5"/>
  <c r="C61" i="5"/>
  <c r="B61" i="5"/>
  <c r="A61" i="5"/>
  <c r="D60" i="5"/>
  <c r="C60" i="5"/>
  <c r="B60" i="5"/>
  <c r="A60" i="5"/>
  <c r="D59" i="5"/>
  <c r="C59" i="5"/>
  <c r="B59" i="5"/>
  <c r="A59" i="5"/>
  <c r="D58" i="5"/>
  <c r="C58" i="5"/>
  <c r="B58" i="5"/>
  <c r="A58" i="5"/>
  <c r="D57" i="5"/>
  <c r="C57" i="5"/>
  <c r="B57" i="5"/>
  <c r="A57" i="5"/>
  <c r="D56" i="5"/>
  <c r="C56" i="5"/>
  <c r="B56" i="5"/>
  <c r="A56" i="5"/>
  <c r="D55" i="5"/>
  <c r="C55" i="5"/>
  <c r="B55" i="5"/>
  <c r="A55" i="5"/>
  <c r="D54" i="5"/>
  <c r="C54" i="5"/>
  <c r="B54" i="5"/>
  <c r="A54" i="5"/>
  <c r="D53" i="5"/>
  <c r="C53" i="5"/>
  <c r="B53" i="5"/>
  <c r="A53" i="5"/>
  <c r="D52" i="5"/>
  <c r="C52" i="5"/>
  <c r="B52" i="5"/>
  <c r="A52" i="5"/>
  <c r="D51" i="5"/>
  <c r="C51" i="5"/>
  <c r="B51" i="5"/>
  <c r="A51" i="5"/>
  <c r="D50" i="5"/>
  <c r="C50" i="5"/>
  <c r="B50" i="5"/>
  <c r="A50" i="5"/>
  <c r="D49" i="5"/>
  <c r="C49" i="5"/>
  <c r="B49" i="5"/>
  <c r="A49" i="5"/>
  <c r="D48" i="5"/>
  <c r="C48" i="5"/>
  <c r="B48" i="5"/>
  <c r="A48" i="5"/>
  <c r="D47" i="5"/>
  <c r="C47" i="5"/>
  <c r="B47" i="5"/>
  <c r="A47" i="5"/>
  <c r="D46" i="5"/>
  <c r="C46" i="5"/>
  <c r="B46" i="5"/>
  <c r="A46" i="5"/>
  <c r="D45" i="5"/>
  <c r="C45" i="5"/>
  <c r="B45" i="5"/>
  <c r="A45" i="5"/>
  <c r="D44" i="5"/>
  <c r="C44" i="5"/>
  <c r="B44" i="5"/>
  <c r="A44" i="5"/>
  <c r="D43" i="5"/>
  <c r="C43" i="5"/>
  <c r="B43" i="5"/>
  <c r="A43" i="5"/>
  <c r="D42" i="5"/>
  <c r="C42" i="5"/>
  <c r="B42" i="5"/>
  <c r="A42" i="5"/>
  <c r="D41" i="5"/>
  <c r="C41" i="5"/>
  <c r="B41" i="5"/>
  <c r="A41" i="5"/>
  <c r="D40" i="5"/>
  <c r="C40" i="5"/>
  <c r="B40" i="5"/>
  <c r="A40" i="5"/>
  <c r="D39" i="5"/>
  <c r="C39" i="5"/>
  <c r="B39" i="5"/>
  <c r="A39" i="5"/>
  <c r="D38" i="5"/>
  <c r="C38" i="5"/>
  <c r="B38" i="5"/>
  <c r="A38" i="5"/>
  <c r="D37" i="5"/>
  <c r="C37" i="5"/>
  <c r="B37" i="5"/>
  <c r="A37" i="5"/>
  <c r="D36" i="5"/>
  <c r="C36" i="5"/>
  <c r="B36" i="5"/>
  <c r="A36" i="5"/>
  <c r="D35" i="5"/>
  <c r="C35" i="5"/>
  <c r="B35" i="5"/>
  <c r="A35" i="5"/>
  <c r="D34" i="5"/>
  <c r="C34" i="5"/>
  <c r="B34" i="5"/>
  <c r="A34" i="5"/>
  <c r="D33" i="5"/>
  <c r="C33" i="5"/>
  <c r="B33" i="5"/>
  <c r="A33" i="5"/>
  <c r="D32" i="5"/>
  <c r="C32" i="5"/>
  <c r="B32" i="5"/>
  <c r="A32" i="5"/>
  <c r="D31" i="5"/>
  <c r="C31" i="5"/>
  <c r="B31" i="5"/>
  <c r="A31" i="5"/>
  <c r="D30" i="5"/>
  <c r="C30" i="5"/>
  <c r="B30" i="5"/>
  <c r="A30" i="5"/>
  <c r="D29" i="5"/>
  <c r="C29" i="5"/>
  <c r="B29" i="5"/>
  <c r="A29" i="5"/>
  <c r="D28" i="5"/>
  <c r="C28" i="5"/>
  <c r="B28" i="5"/>
  <c r="A28" i="5"/>
  <c r="D27" i="5"/>
  <c r="C27" i="5"/>
  <c r="B27" i="5"/>
  <c r="A27" i="5"/>
  <c r="D26" i="5"/>
  <c r="C26" i="5"/>
  <c r="B26" i="5"/>
  <c r="A26" i="5"/>
  <c r="D25" i="5"/>
  <c r="C25" i="5"/>
  <c r="B25" i="5"/>
  <c r="A25" i="5"/>
  <c r="D24" i="5"/>
  <c r="C24" i="5"/>
  <c r="B24" i="5"/>
  <c r="A24" i="5"/>
  <c r="D23" i="5"/>
  <c r="C23" i="5"/>
  <c r="B23" i="5"/>
  <c r="A23" i="5"/>
  <c r="D22" i="5"/>
  <c r="C22" i="5"/>
  <c r="B22" i="5"/>
  <c r="A22" i="5"/>
  <c r="D21" i="5"/>
  <c r="C21" i="5"/>
  <c r="B21" i="5"/>
  <c r="A21" i="5"/>
  <c r="D20" i="5"/>
  <c r="C20" i="5"/>
  <c r="B20" i="5"/>
  <c r="A20" i="5"/>
  <c r="D19" i="5"/>
  <c r="C19" i="5"/>
  <c r="B19" i="5"/>
  <c r="A19" i="5"/>
  <c r="D18" i="5"/>
  <c r="C18" i="5"/>
  <c r="B18" i="5"/>
  <c r="A18" i="5"/>
  <c r="D17" i="5"/>
  <c r="C17" i="5"/>
  <c r="B17" i="5"/>
  <c r="A17" i="5"/>
  <c r="D16" i="5"/>
  <c r="C16" i="5"/>
  <c r="B16" i="5"/>
  <c r="A16" i="5"/>
  <c r="D15" i="5"/>
  <c r="C15" i="5"/>
  <c r="B15" i="5"/>
  <c r="A15" i="5"/>
  <c r="D14" i="5"/>
  <c r="C14" i="5"/>
  <c r="B14" i="5"/>
  <c r="A14" i="5"/>
  <c r="D13" i="5"/>
  <c r="C13" i="5"/>
  <c r="B13" i="5"/>
  <c r="A13" i="5"/>
  <c r="D12" i="5"/>
  <c r="C12" i="5"/>
  <c r="B12" i="5"/>
  <c r="A12" i="5"/>
  <c r="D11" i="5"/>
  <c r="C11" i="5"/>
  <c r="B11" i="5"/>
  <c r="A11" i="5"/>
  <c r="D10" i="5"/>
  <c r="C10" i="5"/>
  <c r="B10" i="5"/>
  <c r="A10" i="5"/>
  <c r="D9" i="5"/>
  <c r="C9" i="5"/>
  <c r="B9" i="5"/>
  <c r="A9" i="5"/>
  <c r="D8" i="5"/>
  <c r="C8" i="5"/>
  <c r="B8" i="5"/>
  <c r="A8" i="5"/>
  <c r="D7" i="5"/>
  <c r="C7" i="5"/>
  <c r="B7" i="5"/>
  <c r="A7" i="5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3" i="4"/>
  <c r="I2" i="4"/>
  <c r="AP46" i="3"/>
  <c r="AO46" i="3"/>
  <c r="AN46" i="3"/>
  <c r="AK46" i="3"/>
  <c r="AJ46" i="3"/>
  <c r="AC46" i="3"/>
  <c r="AM46" i="3" s="1"/>
  <c r="V46" i="3"/>
  <c r="AD46" i="3" s="1"/>
  <c r="AU46" i="3" s="1"/>
  <c r="AP45" i="3"/>
  <c r="AO45" i="3"/>
  <c r="AN45" i="3"/>
  <c r="AK45" i="3"/>
  <c r="AJ45" i="3"/>
  <c r="AC45" i="3"/>
  <c r="AM45" i="3" s="1"/>
  <c r="V45" i="3"/>
  <c r="AD45" i="3" s="1"/>
  <c r="AU45" i="3" s="1"/>
  <c r="AP44" i="3"/>
  <c r="AO44" i="3"/>
  <c r="AN44" i="3"/>
  <c r="AK44" i="3"/>
  <c r="AJ44" i="3"/>
  <c r="AC44" i="3"/>
  <c r="AM44" i="3" s="1"/>
  <c r="V44" i="3"/>
  <c r="AD44" i="3" s="1"/>
  <c r="AU44" i="3" s="1"/>
  <c r="AP43" i="3"/>
  <c r="AO43" i="3"/>
  <c r="AN43" i="3"/>
  <c r="AK43" i="3"/>
  <c r="AJ43" i="3"/>
  <c r="AC43" i="3"/>
  <c r="AM43" i="3" s="1"/>
  <c r="V43" i="3"/>
  <c r="AD43" i="3" s="1"/>
  <c r="AU43" i="3" s="1"/>
  <c r="AP42" i="3"/>
  <c r="AO42" i="3"/>
  <c r="AN42" i="3"/>
  <c r="AK42" i="3"/>
  <c r="AJ42" i="3"/>
  <c r="AC42" i="3"/>
  <c r="AM42" i="3" s="1"/>
  <c r="V42" i="3"/>
  <c r="AD42" i="3" s="1"/>
  <c r="AU42" i="3" s="1"/>
  <c r="AP41" i="3"/>
  <c r="AO41" i="3"/>
  <c r="AN41" i="3"/>
  <c r="AK41" i="3"/>
  <c r="AJ41" i="3"/>
  <c r="AC41" i="3"/>
  <c r="AM41" i="3" s="1"/>
  <c r="V41" i="3"/>
  <c r="AD41" i="3" s="1"/>
  <c r="AU41" i="3" s="1"/>
  <c r="AP40" i="3"/>
  <c r="AO40" i="3"/>
  <c r="AN40" i="3"/>
  <c r="AK40" i="3"/>
  <c r="AJ40" i="3"/>
  <c r="AC40" i="3"/>
  <c r="AM40" i="3" s="1"/>
  <c r="V40" i="3"/>
  <c r="AD40" i="3" s="1"/>
  <c r="AU40" i="3" s="1"/>
  <c r="AP39" i="3"/>
  <c r="AO39" i="3"/>
  <c r="AN39" i="3"/>
  <c r="AK39" i="3"/>
  <c r="AJ39" i="3"/>
  <c r="AC39" i="3"/>
  <c r="AM39" i="3" s="1"/>
  <c r="V39" i="3"/>
  <c r="AD39" i="3" s="1"/>
  <c r="AU39" i="3" s="1"/>
  <c r="AP38" i="3"/>
  <c r="AO38" i="3"/>
  <c r="AN38" i="3"/>
  <c r="AK38" i="3"/>
  <c r="AJ38" i="3"/>
  <c r="AC38" i="3"/>
  <c r="AM38" i="3" s="1"/>
  <c r="V38" i="3"/>
  <c r="AD38" i="3" s="1"/>
  <c r="AU38" i="3" s="1"/>
  <c r="AP36" i="3"/>
  <c r="AO36" i="3"/>
  <c r="AN36" i="3"/>
  <c r="AK36" i="3"/>
  <c r="AJ36" i="3"/>
  <c r="AC36" i="3"/>
  <c r="AM36" i="3" s="1"/>
  <c r="V36" i="3"/>
  <c r="AD36" i="3" s="1"/>
  <c r="AU36" i="3" s="1"/>
  <c r="AP35" i="3"/>
  <c r="AO35" i="3"/>
  <c r="AN35" i="3"/>
  <c r="AK35" i="3"/>
  <c r="AJ35" i="3"/>
  <c r="AC35" i="3"/>
  <c r="AM35" i="3" s="1"/>
  <c r="V35" i="3"/>
  <c r="AD35" i="3" s="1"/>
  <c r="AU35" i="3" s="1"/>
  <c r="AP34" i="3"/>
  <c r="AO34" i="3"/>
  <c r="AN34" i="3"/>
  <c r="AK34" i="3"/>
  <c r="AJ34" i="3"/>
  <c r="AC34" i="3"/>
  <c r="AM34" i="3" s="1"/>
  <c r="V34" i="3"/>
  <c r="AD34" i="3" s="1"/>
  <c r="AU34" i="3" s="1"/>
  <c r="AP33" i="3"/>
  <c r="AO33" i="3"/>
  <c r="AN33" i="3"/>
  <c r="AK33" i="3"/>
  <c r="AJ33" i="3"/>
  <c r="AC33" i="3"/>
  <c r="AM33" i="3" s="1"/>
  <c r="V33" i="3"/>
  <c r="AD33" i="3" s="1"/>
  <c r="AU33" i="3" s="1"/>
  <c r="AP32" i="3"/>
  <c r="AO32" i="3"/>
  <c r="AN32" i="3"/>
  <c r="AK32" i="3"/>
  <c r="AJ32" i="3"/>
  <c r="AC32" i="3"/>
  <c r="AM32" i="3" s="1"/>
  <c r="V32" i="3"/>
  <c r="AD32" i="3" s="1"/>
  <c r="AU32" i="3" s="1"/>
  <c r="AP31" i="3"/>
  <c r="AO31" i="3"/>
  <c r="AN31" i="3"/>
  <c r="AK31" i="3"/>
  <c r="AJ31" i="3"/>
  <c r="AC31" i="3"/>
  <c r="AM31" i="3" s="1"/>
  <c r="V31" i="3"/>
  <c r="AD31" i="3" s="1"/>
  <c r="AU31" i="3" s="1"/>
  <c r="AP30" i="3"/>
  <c r="AO30" i="3"/>
  <c r="AN30" i="3"/>
  <c r="AK30" i="3"/>
  <c r="AJ30" i="3"/>
  <c r="AC30" i="3"/>
  <c r="AM30" i="3" s="1"/>
  <c r="V30" i="3"/>
  <c r="AD30" i="3" s="1"/>
  <c r="AU30" i="3" s="1"/>
  <c r="AP29" i="3"/>
  <c r="AO29" i="3"/>
  <c r="AN29" i="3"/>
  <c r="AK29" i="3"/>
  <c r="AJ29" i="3"/>
  <c r="AC29" i="3"/>
  <c r="AM29" i="3" s="1"/>
  <c r="V29" i="3"/>
  <c r="AD29" i="3" s="1"/>
  <c r="AU29" i="3" s="1"/>
  <c r="AP28" i="3"/>
  <c r="AO28" i="3"/>
  <c r="AN28" i="3"/>
  <c r="AK28" i="3"/>
  <c r="AJ28" i="3"/>
  <c r="AC28" i="3"/>
  <c r="AM28" i="3" s="1"/>
  <c r="V28" i="3"/>
  <c r="AD28" i="3" s="1"/>
  <c r="AU28" i="3" s="1"/>
  <c r="AP27" i="3"/>
  <c r="AO27" i="3"/>
  <c r="AN27" i="3"/>
  <c r="AK27" i="3"/>
  <c r="AJ27" i="3"/>
  <c r="AC27" i="3"/>
  <c r="AM27" i="3" s="1"/>
  <c r="V27" i="3"/>
  <c r="AD27" i="3" s="1"/>
  <c r="AU27" i="3" s="1"/>
  <c r="AP26" i="3"/>
  <c r="AO26" i="3"/>
  <c r="AN26" i="3"/>
  <c r="AK26" i="3"/>
  <c r="AJ26" i="3"/>
  <c r="AC26" i="3"/>
  <c r="AM26" i="3" s="1"/>
  <c r="V26" i="3"/>
  <c r="AD26" i="3" s="1"/>
  <c r="AU26" i="3" s="1"/>
  <c r="AP25" i="3"/>
  <c r="AO25" i="3"/>
  <c r="AN25" i="3"/>
  <c r="AK25" i="3"/>
  <c r="AJ25" i="3"/>
  <c r="AC25" i="3"/>
  <c r="AM25" i="3" s="1"/>
  <c r="V25" i="3"/>
  <c r="AD25" i="3" s="1"/>
  <c r="AU25" i="3" s="1"/>
  <c r="AP24" i="3"/>
  <c r="AO24" i="3"/>
  <c r="AN24" i="3"/>
  <c r="AK24" i="3"/>
  <c r="AJ24" i="3"/>
  <c r="AC24" i="3"/>
  <c r="AM24" i="3" s="1"/>
  <c r="V24" i="3"/>
  <c r="AD24" i="3" s="1"/>
  <c r="AU24" i="3" s="1"/>
  <c r="AP23" i="3"/>
  <c r="AO23" i="3"/>
  <c r="AN23" i="3"/>
  <c r="AK23" i="3"/>
  <c r="AJ23" i="3"/>
  <c r="V23" i="3"/>
  <c r="AP22" i="3"/>
  <c r="AO22" i="3"/>
  <c r="AN22" i="3"/>
  <c r="AK22" i="3"/>
  <c r="AJ22" i="3"/>
  <c r="AC22" i="3"/>
  <c r="AM22" i="3" s="1"/>
  <c r="V22" i="3"/>
  <c r="AD22" i="3" s="1"/>
  <c r="AU22" i="3" s="1"/>
  <c r="AP21" i="3"/>
  <c r="AO21" i="3"/>
  <c r="AN21" i="3"/>
  <c r="AK21" i="3"/>
  <c r="AJ21" i="3"/>
  <c r="AC21" i="3"/>
  <c r="AM21" i="3" s="1"/>
  <c r="V21" i="3"/>
  <c r="AD21" i="3" s="1"/>
  <c r="AU21" i="3" s="1"/>
  <c r="AP20" i="3"/>
  <c r="AO20" i="3"/>
  <c r="AN20" i="3"/>
  <c r="AK20" i="3"/>
  <c r="AJ20" i="3"/>
  <c r="AC20" i="3"/>
  <c r="AM20" i="3" s="1"/>
  <c r="V20" i="3"/>
  <c r="AD20" i="3" s="1"/>
  <c r="AU20" i="3" s="1"/>
  <c r="AP19" i="3"/>
  <c r="AO19" i="3"/>
  <c r="AN19" i="3"/>
  <c r="AK19" i="3"/>
  <c r="AJ19" i="3"/>
  <c r="AC19" i="3"/>
  <c r="AM19" i="3" s="1"/>
  <c r="V19" i="3"/>
  <c r="AD19" i="3" s="1"/>
  <c r="AU19" i="3" s="1"/>
  <c r="AP18" i="3"/>
  <c r="AO18" i="3"/>
  <c r="AN18" i="3"/>
  <c r="AK18" i="3"/>
  <c r="AJ18" i="3"/>
  <c r="AC18" i="3"/>
  <c r="AM18" i="3" s="1"/>
  <c r="V18" i="3"/>
  <c r="AD18" i="3" s="1"/>
  <c r="AU18" i="3" s="1"/>
  <c r="AP17" i="3"/>
  <c r="AO17" i="3"/>
  <c r="AN17" i="3"/>
  <c r="AK17" i="3"/>
  <c r="AJ17" i="3"/>
  <c r="AC17" i="3"/>
  <c r="AM17" i="3" s="1"/>
  <c r="V17" i="3"/>
  <c r="AD17" i="3" s="1"/>
  <c r="AU17" i="3" s="1"/>
  <c r="AP16" i="3"/>
  <c r="AO16" i="3"/>
  <c r="AN16" i="3"/>
  <c r="AK16" i="3"/>
  <c r="AJ16" i="3"/>
  <c r="AC16" i="3"/>
  <c r="AM16" i="3" s="1"/>
  <c r="V16" i="3"/>
  <c r="AD16" i="3" s="1"/>
  <c r="AU16" i="3" s="1"/>
  <c r="AP15" i="3"/>
  <c r="AO15" i="3"/>
  <c r="AN15" i="3"/>
  <c r="AK15" i="3"/>
  <c r="AJ15" i="3"/>
  <c r="AC15" i="3"/>
  <c r="AM15" i="3" s="1"/>
  <c r="V15" i="3"/>
  <c r="AD15" i="3" s="1"/>
  <c r="AU15" i="3" s="1"/>
  <c r="AP14" i="3"/>
  <c r="AO14" i="3"/>
  <c r="AN14" i="3"/>
  <c r="AK14" i="3"/>
  <c r="AJ14" i="3"/>
  <c r="AC14" i="3"/>
  <c r="AM14" i="3" s="1"/>
  <c r="V14" i="3"/>
  <c r="AD14" i="3" s="1"/>
  <c r="AU14" i="3" s="1"/>
  <c r="AP13" i="3"/>
  <c r="AO13" i="3"/>
  <c r="AN13" i="3"/>
  <c r="AK13" i="3"/>
  <c r="AJ13" i="3"/>
  <c r="AC13" i="3"/>
  <c r="AM13" i="3" s="1"/>
  <c r="V13" i="3"/>
  <c r="AD13" i="3" s="1"/>
  <c r="AU13" i="3" s="1"/>
  <c r="AP12" i="3"/>
  <c r="AO12" i="3"/>
  <c r="AN12" i="3"/>
  <c r="AK12" i="3"/>
  <c r="AJ12" i="3"/>
  <c r="AC12" i="3"/>
  <c r="AM12" i="3" s="1"/>
  <c r="V12" i="3"/>
  <c r="AD12" i="3" s="1"/>
  <c r="AU12" i="3" s="1"/>
  <c r="AP11" i="3"/>
  <c r="AO11" i="3"/>
  <c r="AN11" i="3"/>
  <c r="AK11" i="3"/>
  <c r="AJ11" i="3"/>
  <c r="AC11" i="3"/>
  <c r="AM11" i="3" s="1"/>
  <c r="V11" i="3"/>
  <c r="AD11" i="3" s="1"/>
  <c r="AU11" i="3" s="1"/>
  <c r="AP10" i="3"/>
  <c r="AO10" i="3"/>
  <c r="AN10" i="3"/>
  <c r="AK10" i="3"/>
  <c r="AJ10" i="3"/>
  <c r="AC10" i="3"/>
  <c r="AM10" i="3" s="1"/>
  <c r="V10" i="3"/>
  <c r="AD10" i="3" s="1"/>
  <c r="AU10" i="3" s="1"/>
  <c r="AP9" i="3"/>
  <c r="AO9" i="3"/>
  <c r="AN9" i="3"/>
  <c r="AK9" i="3"/>
  <c r="AJ9" i="3"/>
  <c r="AC9" i="3"/>
  <c r="AM9" i="3" s="1"/>
  <c r="V9" i="3"/>
  <c r="AD9" i="3" s="1"/>
  <c r="AU9" i="3" s="1"/>
  <c r="AP8" i="3"/>
  <c r="AO8" i="3"/>
  <c r="AN8" i="3"/>
  <c r="AK8" i="3"/>
  <c r="AJ8" i="3"/>
  <c r="AC8" i="3"/>
  <c r="AM8" i="3" s="1"/>
  <c r="V8" i="3"/>
  <c r="AD8" i="3" s="1"/>
  <c r="AU8" i="3" s="1"/>
  <c r="AP7" i="3"/>
  <c r="AO7" i="3"/>
  <c r="AN7" i="3"/>
  <c r="AK7" i="3"/>
  <c r="AJ7" i="3"/>
  <c r="AC7" i="3"/>
  <c r="AM7" i="3" s="1"/>
  <c r="V7" i="3"/>
  <c r="AD7" i="3" s="1"/>
  <c r="AU7" i="3" s="1"/>
  <c r="AP6" i="3"/>
  <c r="AO6" i="3"/>
  <c r="AN6" i="3"/>
  <c r="AK6" i="3"/>
  <c r="AJ6" i="3"/>
  <c r="AC6" i="3"/>
  <c r="AM6" i="3" s="1"/>
  <c r="V6" i="3"/>
  <c r="AD6" i="3" s="1"/>
  <c r="AU6" i="3" s="1"/>
  <c r="AP5" i="3"/>
  <c r="AO5" i="3"/>
  <c r="AN5" i="3"/>
  <c r="AK5" i="3"/>
  <c r="AJ5" i="3"/>
  <c r="AC5" i="3"/>
  <c r="AM5" i="3" s="1"/>
  <c r="V5" i="3"/>
  <c r="AD5" i="3" s="1"/>
  <c r="AU5" i="3" s="1"/>
  <c r="AP4" i="3"/>
  <c r="AO4" i="3"/>
  <c r="AN4" i="3"/>
  <c r="AK4" i="3"/>
  <c r="AJ4" i="3"/>
  <c r="AC4" i="3"/>
  <c r="AM4" i="3" s="1"/>
  <c r="V4" i="3"/>
  <c r="AD4" i="3" s="1"/>
  <c r="AU4" i="3" s="1"/>
  <c r="AP3" i="3"/>
  <c r="AO3" i="3"/>
  <c r="AN3" i="3"/>
  <c r="AK3" i="3"/>
  <c r="AJ3" i="3"/>
  <c r="AC3" i="3"/>
  <c r="AM3" i="3" s="1"/>
  <c r="V3" i="3"/>
  <c r="AD3" i="3" s="1"/>
  <c r="AU3" i="3" s="1"/>
  <c r="AP2" i="3"/>
  <c r="AO2" i="3"/>
  <c r="AN2" i="3"/>
  <c r="AK2" i="3"/>
  <c r="AJ2" i="3"/>
  <c r="AC2" i="3"/>
  <c r="V2" i="3"/>
  <c r="AD2" i="3" s="1"/>
  <c r="AU2" i="3" s="1"/>
  <c r="B11" i="2"/>
  <c r="B10" i="2"/>
  <c r="B9" i="2"/>
  <c r="B8" i="2"/>
  <c r="B6" i="2"/>
  <c r="B4" i="2"/>
  <c r="AS47" i="3" l="1"/>
  <c r="AT47" i="3" s="1"/>
  <c r="AS14" i="3"/>
  <c r="AT14" i="3" s="1"/>
  <c r="AS38" i="3"/>
  <c r="AT38" i="3" s="1"/>
  <c r="AS37" i="3"/>
  <c r="AT37" i="3" s="1"/>
  <c r="AS33" i="3"/>
  <c r="AT33" i="3" s="1"/>
  <c r="AS32" i="3"/>
  <c r="AT32" i="3" s="1"/>
  <c r="AD23" i="3"/>
  <c r="AU23" i="3" s="1"/>
  <c r="B7" i="2"/>
  <c r="AC23" i="3"/>
  <c r="AM23" i="3" s="1"/>
  <c r="AS23" i="3" s="1"/>
  <c r="AT23" i="3" s="1"/>
  <c r="AS13" i="3"/>
  <c r="AT13" i="3" s="1"/>
  <c r="AS19" i="3"/>
  <c r="AT19" i="3" s="1"/>
  <c r="AS34" i="3"/>
  <c r="AT34" i="3" s="1"/>
  <c r="AS35" i="3"/>
  <c r="AT35" i="3" s="1"/>
  <c r="AS28" i="3"/>
  <c r="AT28" i="3" s="1"/>
  <c r="AS11" i="3"/>
  <c r="AT11" i="3" s="1"/>
  <c r="AS3" i="3"/>
  <c r="AT3" i="3" s="1"/>
  <c r="B5" i="2"/>
  <c r="AS41" i="3"/>
  <c r="AT41" i="3" s="1"/>
  <c r="AS36" i="3"/>
  <c r="AT36" i="3" s="1"/>
  <c r="AS17" i="3"/>
  <c r="AT17" i="3" s="1"/>
  <c r="AS31" i="3"/>
  <c r="AT31" i="3" s="1"/>
  <c r="AS6" i="3"/>
  <c r="AT6" i="3" s="1"/>
  <c r="AS5" i="3"/>
  <c r="AT5" i="3" s="1"/>
  <c r="AS4" i="3"/>
  <c r="AT4" i="3" s="1"/>
  <c r="AS27" i="3"/>
  <c r="AT27" i="3" s="1"/>
  <c r="AS44" i="3"/>
  <c r="AT44" i="3" s="1"/>
  <c r="AS43" i="3"/>
  <c r="AT43" i="3" s="1"/>
  <c r="AS46" i="3"/>
  <c r="AT46" i="3" s="1"/>
  <c r="AS7" i="3"/>
  <c r="AT7" i="3" s="1"/>
  <c r="AS45" i="3"/>
  <c r="AT45" i="3" s="1"/>
  <c r="AS29" i="3"/>
  <c r="AT29" i="3" s="1"/>
  <c r="AS9" i="3"/>
  <c r="AT9" i="3" s="1"/>
  <c r="B5" i="9"/>
  <c r="B4" i="9"/>
  <c r="AS15" i="3"/>
  <c r="AT15" i="3" s="1"/>
  <c r="AS18" i="3"/>
  <c r="AT18" i="3" s="1"/>
  <c r="AS16" i="3"/>
  <c r="AT16" i="3" s="1"/>
  <c r="AS2" i="3"/>
  <c r="AT2" i="3" s="1"/>
  <c r="AS26" i="3"/>
  <c r="AT26" i="3" s="1"/>
  <c r="AS25" i="3"/>
  <c r="AT25" i="3" s="1"/>
  <c r="AS24" i="3"/>
  <c r="AT24" i="3" s="1"/>
  <c r="AS22" i="3"/>
  <c r="AT22" i="3" s="1"/>
  <c r="AS21" i="3"/>
  <c r="AT21" i="3" s="1"/>
  <c r="AS20" i="3"/>
  <c r="AT20" i="3" s="1"/>
  <c r="AS8" i="3"/>
  <c r="AT8" i="3" s="1"/>
  <c r="AS42" i="3"/>
  <c r="AT42" i="3" s="1"/>
  <c r="AS30" i="3"/>
  <c r="AT30" i="3" s="1"/>
  <c r="AS12" i="3"/>
  <c r="AT12" i="3" s="1"/>
  <c r="AS10" i="3"/>
  <c r="AT10" i="3" s="1"/>
  <c r="AS40" i="3"/>
  <c r="AT40" i="3" s="1"/>
  <c r="AS39" i="3"/>
  <c r="AT39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W2" authorId="0" shapeId="0" xr:uid="{00000000-0006-0000-0200-000001000000}">
      <text>
        <r>
          <rPr>
            <sz val="11"/>
            <color theme="1"/>
            <rFont val="맑은 고딕"/>
            <family val="2"/>
            <scheme val="minor"/>
          </rPr>
          <t>Official Apelgamo Gwanghwamun page.</t>
        </r>
      </text>
    </comment>
    <comment ref="W21" authorId="0" shapeId="0" xr:uid="{00000000-0006-0000-0200-000002000000}">
      <text>
        <r>
          <rPr>
            <sz val="11"/>
            <color theme="1"/>
            <rFont val="맑은 고딕"/>
            <family val="2"/>
            <scheme val="minor"/>
          </rPr>
          <t>더화이트베일 공식 사이트.</t>
        </r>
      </text>
    </comment>
    <comment ref="U27" authorId="0" shapeId="0" xr:uid="{00000000-0006-0000-0200-000003000000}">
      <text>
        <r>
          <rPr>
            <sz val="11"/>
            <color rgb="FF000000"/>
            <rFont val="맑은 고딕"/>
            <family val="2"/>
            <charset val="129"/>
          </rPr>
          <t>빌라드지디</t>
        </r>
        <r>
          <rPr>
            <sz val="11"/>
            <color rgb="FF000000"/>
            <rFont val="맑은 고딕"/>
            <family val="2"/>
            <charset val="129"/>
          </rPr>
          <t xml:space="preserve"> </t>
        </r>
        <r>
          <rPr>
            <sz val="11"/>
            <color rgb="FF000000"/>
            <rFont val="맑은 고딕"/>
            <family val="2"/>
            <charset val="129"/>
          </rPr>
          <t>수서</t>
        </r>
        <r>
          <rPr>
            <sz val="11"/>
            <color rgb="FF000000"/>
            <rFont val="맑은 고딕"/>
            <family val="2"/>
            <charset val="129"/>
          </rPr>
          <t xml:space="preserve"> FAQ</t>
        </r>
        <r>
          <rPr>
            <sz val="11"/>
            <color rgb="FF000000"/>
            <rFont val="맑은 고딕"/>
            <family val="2"/>
            <charset val="129"/>
          </rPr>
          <t>에서</t>
        </r>
        <r>
          <rPr>
            <sz val="11"/>
            <color rgb="FF000000"/>
            <rFont val="맑은 고딕"/>
            <family val="2"/>
            <charset val="129"/>
          </rPr>
          <t xml:space="preserve"> </t>
        </r>
        <r>
          <rPr>
            <sz val="11"/>
            <color rgb="FF000000"/>
            <rFont val="맑은 고딕"/>
            <family val="2"/>
            <charset val="129"/>
          </rPr>
          <t>계약금</t>
        </r>
        <r>
          <rPr>
            <sz val="11"/>
            <color rgb="FF000000"/>
            <rFont val="맑은 고딕"/>
            <family val="2"/>
            <charset val="129"/>
          </rPr>
          <t xml:space="preserve"> 3,000,000</t>
        </r>
        <r>
          <rPr>
            <sz val="11"/>
            <color rgb="FF000000"/>
            <rFont val="맑은 고딕"/>
            <family val="2"/>
            <charset val="129"/>
          </rPr>
          <t>원</t>
        </r>
        <r>
          <rPr>
            <sz val="11"/>
            <color rgb="FF000000"/>
            <rFont val="맑은 고딕"/>
            <family val="2"/>
            <charset val="129"/>
          </rPr>
          <t xml:space="preserve"> </t>
        </r>
        <r>
          <rPr>
            <sz val="11"/>
            <color rgb="FF000000"/>
            <rFont val="맑은 고딕"/>
            <family val="2"/>
            <charset val="129"/>
          </rPr>
          <t>확인</t>
        </r>
        <r>
          <rPr>
            <sz val="11"/>
            <color rgb="FF000000"/>
            <rFont val="맑은 고딕"/>
            <family val="2"/>
            <charset val="129"/>
          </rPr>
          <t>.</t>
        </r>
      </text>
    </comment>
    <comment ref="W39" authorId="0" shapeId="0" xr:uid="{00000000-0006-0000-0200-000004000000}">
      <text>
        <r>
          <rPr>
            <sz val="11"/>
            <color theme="1"/>
            <rFont val="맑은 고딕"/>
            <family val="2"/>
            <scheme val="minor"/>
          </rPr>
          <t>아펠가모 잠실 공식 지점 URL.</t>
        </r>
      </text>
    </comment>
  </commentList>
</comments>
</file>

<file path=xl/sharedStrings.xml><?xml version="1.0" encoding="utf-8"?>
<sst xmlns="http://schemas.openxmlformats.org/spreadsheetml/2006/main" count="915" uniqueCount="387">
  <si>
    <t>서울 웨딩홀 마스터북 v2 (지도 보이게 / 플래너형)</t>
  </si>
  <si>
    <t>이번 버전은 사용자가 요청한 두 가지를 반영했습니다:</t>
  </si>
  <si>
    <t>1) Map_View 시트에 웨딩홀 위치가 '바로 보이는' 점 지도형 뷰 추가</t>
  </si>
  <si>
    <t>2) Starter Set을 60개까지 확장하고, 웨딩 플래너식 관리 컬럼(계약금, 연출료, 꽃장식, 잔금시점, 주차, 예식간격 등) 추가</t>
  </si>
  <si>
    <t>중요 고지</t>
  </si>
  <si>
    <t>- 지도는 실제 GIS/네이버 지도 API 임베드가 아니라, 서울 구 단위 중심좌표 기반의 내부 시각화입니다.</t>
  </si>
  <si>
    <t>- 즉, 각 웨딩홀의 '정확한 건물 좌표'가 아니라 '구 단위 위치감'을 빠르게 보는 용도입니다.</t>
  </si>
  <si>
    <t>- 공식 홈페이지는 확인된 경우만 입력했고, 미확인 항목은 공란으로 두었습니다.</t>
  </si>
  <si>
    <t>- 가격/계약금/식대는 웨딩홀·일자·시간대·프로모션에 따라 달라지므로 반드시 최종 상담 시 재확인해야 합니다.</t>
  </si>
  <si>
    <t>권장 사용 흐름</t>
  </si>
  <si>
    <t>1. Master_60에서 후보들을 비교</t>
  </si>
  <si>
    <t>2. Shortlist에 최종 후보 10~15곳만 복사</t>
  </si>
  <si>
    <t>3. Dashboard에서 평균 식대/예상총비용/미확인 항목 수 체크</t>
  </si>
  <si>
    <t>4. Map_View에서 지역 분포 확인</t>
  </si>
  <si>
    <t>서울 웨딩홀 대시보드</t>
  </si>
  <si>
    <t>핵심 KPI</t>
  </si>
  <si>
    <t>실무 체크</t>
  </si>
  <si>
    <t>총 행 수</t>
  </si>
  <si>
    <t>예상총비용 = 식대평균 × 최소보증 + 대관료 + 연출료 + 꽃장식</t>
  </si>
  <si>
    <t>공식 링크 입력 수</t>
  </si>
  <si>
    <t>계약금(가이드) = 예상총비용의 10%</t>
  </si>
  <si>
    <t>식대 시작가 입력 수</t>
  </si>
  <si>
    <t>계약금(실제확인)은 공식 FAQ/상담자료 확인 시만 입력</t>
  </si>
  <si>
    <t>계약금 실제 확인 수</t>
  </si>
  <si>
    <t>Map_View는 구 단위 위치감 용도</t>
  </si>
  <si>
    <t>평균 식대 평균</t>
  </si>
  <si>
    <t>평균 최소보증</t>
  </si>
  <si>
    <t>새 기능</t>
  </si>
  <si>
    <t>평균 예상총비용</t>
  </si>
  <si>
    <t>홀톤(밝은/어두운/혼합) 필터</t>
  </si>
  <si>
    <t>미확인 링크 수</t>
  </si>
  <si>
    <t>강남권/비강남권 분류</t>
  </si>
  <si>
    <t>교통·가성비·검증 점수</t>
  </si>
  <si>
    <t>취향적합도/부모님선호 수기 입력</t>
  </si>
  <si>
    <t>추천점수 / 추천등급 자동 산출</t>
  </si>
  <si>
    <t>예산 시뮬레이터 시트 추가</t>
  </si>
  <si>
    <t>ID</t>
  </si>
  <si>
    <t>웨딩홀 이름</t>
  </si>
  <si>
    <t>구</t>
  </si>
  <si>
    <t>주소</t>
  </si>
  <si>
    <t>도시</t>
  </si>
  <si>
    <t>홀타입</t>
  </si>
  <si>
    <t>홀톤(밝은/어두운/혼합)</t>
  </si>
  <si>
    <t>예식형태</t>
  </si>
  <si>
    <t>예식간격(분)</t>
  </si>
  <si>
    <t>홀수</t>
  </si>
  <si>
    <t>메뉴</t>
  </si>
  <si>
    <t>식대 시작가(원)</t>
  </si>
  <si>
    <t>식대 평균가(원)</t>
  </si>
  <si>
    <t>식대 범위</t>
  </si>
  <si>
    <t>최소보증인원</t>
  </si>
  <si>
    <t>최대수용인원</t>
  </si>
  <si>
    <t>대관료(원)</t>
  </si>
  <si>
    <t>연출료(원)</t>
  </si>
  <si>
    <t>꽃장식(원)</t>
  </si>
  <si>
    <t>계약금(실제확인)</t>
  </si>
  <si>
    <t>계약금 가이드(10%)</t>
  </si>
  <si>
    <t>공식 홈페이지</t>
  </si>
  <si>
    <t>링크 검증</t>
  </si>
  <si>
    <t>네이버지도</t>
  </si>
  <si>
    <t>주차</t>
  </si>
  <si>
    <t>무료주차</t>
  </si>
  <si>
    <t>잔금시점</t>
  </si>
  <si>
    <t>지하철/접근</t>
  </si>
  <si>
    <t>예상 총비용(원)</t>
  </si>
  <si>
    <t>데이터완성도</t>
  </si>
  <si>
    <t>Source</t>
  </si>
  <si>
    <t>MapX</t>
  </si>
  <si>
    <t>MapY</t>
  </si>
  <si>
    <t>메모</t>
  </si>
  <si>
    <t>강남권여부</t>
  </si>
  <si>
    <t>권역</t>
  </si>
  <si>
    <t>분위기태그</t>
  </si>
  <si>
    <t>교통점수(1-5)</t>
  </si>
  <si>
    <t>가성비점수(1-5)</t>
  </si>
  <si>
    <t>최소보증점수(1-5)</t>
  </si>
  <si>
    <t>검증점수(1-5)</t>
  </si>
  <si>
    <t>취향적합도(1-5)</t>
  </si>
  <si>
    <t>부모님선호(1-5)</t>
  </si>
  <si>
    <t>추천점수</t>
  </si>
  <si>
    <t>추천등급</t>
  </si>
  <si>
    <t>예산밴드</t>
  </si>
  <si>
    <t>비고_플래너</t>
  </si>
  <si>
    <t>아펠가모 광화문</t>
  </si>
  <si>
    <t>종로구</t>
  </si>
  <si>
    <t>서울 종로구 종로1길 50</t>
  </si>
  <si>
    <t>서울특별시</t>
  </si>
  <si>
    <t>컨벤션</t>
  </si>
  <si>
    <t>밝은홀</t>
  </si>
  <si>
    <t>분리</t>
  </si>
  <si>
    <t>뷔페</t>
  </si>
  <si>
    <t>85000~110000</t>
  </si>
  <si>
    <t>https://apelgamo.com/home/wedding3</t>
  </si>
  <si>
    <t>확인</t>
  </si>
  <si>
    <t>https://map.naver.com/v5/search/아펠가모%20광화문</t>
  </si>
  <si>
    <t>주차가능</t>
  </si>
  <si>
    <t>공식 페이지 / 식대는 플랫폼 참고</t>
  </si>
  <si>
    <t>채플감성/단정</t>
  </si>
  <si>
    <t>HW컨벤션센터</t>
  </si>
  <si>
    <t>서울 종로구 자하문로 255</t>
  </si>
  <si>
    <t>미확인</t>
  </si>
  <si>
    <t>https://map.naver.com/v5/search/HW컨벤션센터</t>
  </si>
  <si>
    <t>주소만 반영</t>
  </si>
  <si>
    <t>하우스</t>
  </si>
  <si>
    <t>서울 종로구 성균관로 31</t>
  </si>
  <si>
    <t>https://map.naver.com/v5/search/성균관컨벤션웨딩홀</t>
  </si>
  <si>
    <t>SW컨벤션센터</t>
  </si>
  <si>
    <t>서울 종로구 지봉로 19</t>
  </si>
  <si>
    <t>https://map.naver.com/v5/search/SW컨벤션센터</t>
  </si>
  <si>
    <t>라루체</t>
  </si>
  <si>
    <t>중구</t>
  </si>
  <si>
    <t>서울 중구 퇴계로18길 46</t>
  </si>
  <si>
    <t>https://www.lalucewedding.co.kr/</t>
  </si>
  <si>
    <t>https://map.naver.com/v5/search/라루체</t>
  </si>
  <si>
    <t>공식 사이트 확인</t>
  </si>
  <si>
    <t>하우스/야외감성</t>
  </si>
  <si>
    <t>루이비스컨벤션</t>
  </si>
  <si>
    <t>서울 중구 청파로 463</t>
  </si>
  <si>
    <t>https://lvconvention.co.kr/main.html</t>
  </si>
  <si>
    <t>https://map.naver.com/v5/search/루이비스컨벤션</t>
  </si>
  <si>
    <t>용산구</t>
  </si>
  <si>
    <t>틸티드 한남</t>
  </si>
  <si>
    <t>서울 용산구 한남대로 150-10</t>
  </si>
  <si>
    <t>https://map.naver.com/v5/search/틸티드%20한남</t>
  </si>
  <si>
    <t>소규모 후보</t>
  </si>
  <si>
    <t>성동구</t>
  </si>
  <si>
    <t>채플</t>
  </si>
  <si>
    <t>2시간</t>
  </si>
  <si>
    <t>디노체컨벤션웨딩홀</t>
  </si>
  <si>
    <t>서울 성동구 왕십리광장로 17</t>
  </si>
  <si>
    <t>https://map.naver.com/v5/search/디노체컨벤션웨딩홀</t>
  </si>
  <si>
    <t>스타시티아트홀</t>
  </si>
  <si>
    <t>광진구</t>
  </si>
  <si>
    <t>서울 광진구 아차산로 262</t>
  </si>
  <si>
    <t>https://starcityarthall.com/</t>
  </si>
  <si>
    <t>https://map.naver.com/v5/search/스타시티아트홀</t>
  </si>
  <si>
    <t>도심/밝음</t>
  </si>
  <si>
    <t>벨라루체웨딩홀 서울점</t>
  </si>
  <si>
    <t>동대문구</t>
  </si>
  <si>
    <t>서울 동대문구 망우로 61</t>
  </si>
  <si>
    <t>https://www.bellaluceseoul.co.kr/</t>
  </si>
  <si>
    <t>https://map.naver.com/v5/search/벨라루체웨딩홀%20서울점</t>
  </si>
  <si>
    <t>마포구</t>
  </si>
  <si>
    <t>브랜드 공식</t>
  </si>
  <si>
    <t>DMC타워웨딩</t>
  </si>
  <si>
    <t>서울 마포구 성암로 189</t>
  </si>
  <si>
    <t>https://www.dmcwedding.co.kr/</t>
  </si>
  <si>
    <t>https://map.naver.com/v5/search/DMC타워웨딩</t>
  </si>
  <si>
    <t>월드컵컨벤션</t>
  </si>
  <si>
    <t>서울 마포구 월드컵로 240</t>
  </si>
  <si>
    <t>https://map.naver.com/v5/search/월드컵컨벤션</t>
  </si>
  <si>
    <t>더파티움 여의도</t>
  </si>
  <si>
    <t>영등포구</t>
  </si>
  <si>
    <t>서울 영등포구 은행로 30</t>
  </si>
  <si>
    <t>https://map.naver.com/v5/search/더파티움%20여의도</t>
  </si>
  <si>
    <t>JK아트컨벤션</t>
  </si>
  <si>
    <t>서울 영등포구 문래로 164</t>
  </si>
  <si>
    <t>https://www.jkart.co.kr/</t>
  </si>
  <si>
    <t>https://map.naver.com/v5/search/JK아트컨벤션</t>
  </si>
  <si>
    <t>그랜드컨벤션센터</t>
  </si>
  <si>
    <t>서울 영등포구 양평로 58</t>
  </si>
  <si>
    <t>https://www.grandconvention.co.kr/</t>
  </si>
  <si>
    <t>https://map.naver.com/v5/search/그랜드컨벤션센터</t>
  </si>
  <si>
    <t>공식 사이트 + 가격 참고</t>
  </si>
  <si>
    <t>더컨벤션 영등포</t>
  </si>
  <si>
    <t>서울 영등포구 국회대로38길 2</t>
  </si>
  <si>
    <t>어두운홀</t>
  </si>
  <si>
    <t>http://theconvention.co.kr/ydp</t>
  </si>
  <si>
    <t>https://map.naver.com/v5/search/더컨벤션%20영등포</t>
  </si>
  <si>
    <t>홀사용료/보증인원 확인</t>
  </si>
  <si>
    <t>컨벤션/버진로드</t>
  </si>
  <si>
    <t>구로구</t>
  </si>
  <si>
    <t>서울 구로구 새말로 97</t>
  </si>
  <si>
    <t>60000~80000</t>
  </si>
  <si>
    <t>https://www.tmwedding.co.kr/</t>
  </si>
  <si>
    <t>https://map.naver.com/v5/search/웨딩시티%20신도림</t>
  </si>
  <si>
    <t>가성비/도심</t>
  </si>
  <si>
    <t>더세인트</t>
  </si>
  <si>
    <t>서울 구로구 경인로 662</t>
  </si>
  <si>
    <t>https://thesaint.co.kr/</t>
  </si>
  <si>
    <t>https://map.naver.com/v5/search/더세인트%20신도림</t>
  </si>
  <si>
    <t>더뉴컨벤션</t>
  </si>
  <si>
    <t>강서구</t>
  </si>
  <si>
    <t>서울 강서구 화곡로 55</t>
  </si>
  <si>
    <t>https://map.naver.com/v5/search/더뉴컨벤션</t>
  </si>
  <si>
    <t>주소 추정/확인필요</t>
  </si>
  <si>
    <t>엘타워</t>
  </si>
  <si>
    <t>서초구</t>
  </si>
  <si>
    <t>서울 서초구 강남대로 213</t>
  </si>
  <si>
    <t>동시</t>
  </si>
  <si>
    <t>한식/양식</t>
  </si>
  <si>
    <t>130000~170000</t>
  </si>
  <si>
    <t>https://eltower.co.kr/</t>
  </si>
  <si>
    <t>https://map.naver.com/v5/search/엘타워</t>
  </si>
  <si>
    <t>공식 도메인 + 가격 참고</t>
  </si>
  <si>
    <t>더화이트베일</t>
  </si>
  <si>
    <t>서울 서초구 서초중앙로 14</t>
  </si>
  <si>
    <t>혼합</t>
  </si>
  <si>
    <t>https://thewhiteveil.co.kr/</t>
  </si>
  <si>
    <t>https://map.naver.com/v5/search/더화이트베일</t>
  </si>
  <si>
    <t>컨벤션/우아</t>
  </si>
  <si>
    <t>아펠가모 반포</t>
  </si>
  <si>
    <t>서울 서초구 반포대로 235</t>
  </si>
  <si>
    <t>https://apelgamo.com/home/wedding2</t>
  </si>
  <si>
    <t>https://map.naver.com/v5/search/아펠가모%20반포</t>
  </si>
  <si>
    <t>공식 지점 확인</t>
  </si>
  <si>
    <t>채플/고전</t>
  </si>
  <si>
    <t>확인필요</t>
  </si>
  <si>
    <t>노블발렌티 대치</t>
  </si>
  <si>
    <t>강남구</t>
  </si>
  <si>
    <t>서울 강남구 영동대로 325</t>
  </si>
  <si>
    <t>https://noblevalentidaechi.co.kr/</t>
  </si>
  <si>
    <t>https://map.naver.com/v5/search/노블발렌티%20대치</t>
  </si>
  <si>
    <t>공식 사이트 + 일부 가격 노출</t>
  </si>
  <si>
    <t>노블발렌티 삼성</t>
  </si>
  <si>
    <t>서울 강남구 봉은사로 637</t>
  </si>
  <si>
    <t>https://noblevalenti.co.kr/</t>
  </si>
  <si>
    <t>https://map.naver.com/v5/search/노블발렌티%20삼성</t>
  </si>
  <si>
    <t>서울 강남구 학동로 519</t>
  </si>
  <si>
    <t>https://chungdamvilladegd.com/</t>
  </si>
  <si>
    <t>https://map.naver.com/v5/search/빌라드지디%20청담</t>
  </si>
  <si>
    <t>하우스/무드</t>
  </si>
  <si>
    <t>빌라드지디 수서</t>
  </si>
  <si>
    <t>서울 강남구 밤고개로21길 79</t>
  </si>
  <si>
    <t>https://suseovilladegd.com/</t>
  </si>
  <si>
    <t>https://map.naver.com/v5/search/빌라드지디%20수서</t>
  </si>
  <si>
    <t>https://suseovilladegd.com/FAQ</t>
  </si>
  <si>
    <t>FAQ에서 계약금 300만원 확인</t>
  </si>
  <si>
    <t>가든/유리정원</t>
  </si>
  <si>
    <t>서울 강남구 선릉로 757</t>
  </si>
  <si>
    <t>https://www.thechapel.co.kr/home/wedding1</t>
  </si>
  <si>
    <t>https://map.naver.com/v5/search/더채플앳청담</t>
  </si>
  <si>
    <t>채플/클래식</t>
  </si>
  <si>
    <t>상록아트홀</t>
  </si>
  <si>
    <t>서울 강남구 언주로 508 상록회관 5층</t>
  </si>
  <si>
    <t>https://srwedding.co.kr/</t>
  </si>
  <si>
    <t>https://map.naver.com/v5/search/상록아트홀</t>
  </si>
  <si>
    <t>호텔식/웅장</t>
  </si>
  <si>
    <t>라온제나강남</t>
  </si>
  <si>
    <t>서울 강남구 언주로 564 인근</t>
  </si>
  <si>
    <t>복합홀</t>
  </si>
  <si>
    <t>https://xn--939ao9fob394buxtzvc.com/</t>
  </si>
  <si>
    <t>https://map.naver.com/v5/search/라온제나강남</t>
  </si>
  <si>
    <t>공식 사이트 확인 / 상세주소 재확인</t>
  </si>
  <si>
    <t>샐럽앤어셈</t>
  </si>
  <si>
    <t>서울 강남구 선릉로 818</t>
  </si>
  <si>
    <t>https://map.naver.com/v5/search/샐럽앤어셈</t>
  </si>
  <si>
    <t>서울 강남구 테헤란로 152</t>
  </si>
  <si>
    <t>https://map.naver.com/v5/search/스카이뷰컨벤션</t>
  </si>
  <si>
    <t>서울 강남구 봉은사로 531</t>
  </si>
  <si>
    <t>https://map.naver.com/v5/search/더라빌</t>
  </si>
  <si>
    <t>브라이드밸리</t>
  </si>
  <si>
    <t>https://map.naver.com/v5/search/브라이드밸리</t>
  </si>
  <si>
    <t>그랜드힐컨벤션</t>
  </si>
  <si>
    <t>서울 강남구 역삼로 607</t>
  </si>
  <si>
    <t>https://map.naver.com/v5/search/그랜드힐컨벤션</t>
  </si>
  <si>
    <t>더청담</t>
  </si>
  <si>
    <t>서울 강남구 도산대로 356</t>
  </si>
  <si>
    <t>https://map.naver.com/v5/search/더청담</t>
  </si>
  <si>
    <t>트라디노이</t>
  </si>
  <si>
    <t>서울 강남구 학동로 519 인근</t>
  </si>
  <si>
    <t>https://map.naver.com/v5/search/트라디노이</t>
  </si>
  <si>
    <t>소노펠리체 컨벤션</t>
  </si>
  <si>
    <t>서울 강남구 테헤란로87길 22</t>
  </si>
  <si>
    <t>https://www.sonofeliceconvention.com/</t>
  </si>
  <si>
    <t>https://map.naver.com/v5/search/소노펠리체%20컨벤션</t>
  </si>
  <si>
    <t>컨벤션/웅장</t>
  </si>
  <si>
    <t>아펠가모 잠실</t>
  </si>
  <si>
    <t>송파구</t>
  </si>
  <si>
    <t>서울 송파구 올림픽로35길 137</t>
  </si>
  <si>
    <t>https://apelgamo.com/home/wedding1</t>
  </si>
  <si>
    <t>https://map.naver.com/v5/search/아펠가모%20잠실</t>
  </si>
  <si>
    <t>컨벤션/모던</t>
  </si>
  <si>
    <t>서울웨딩타워</t>
  </si>
  <si>
    <t>서울 송파구 양재대로 932</t>
  </si>
  <si>
    <t>https://www.swtower.com/</t>
  </si>
  <si>
    <t>https://map.naver.com/v5/search/서울웨딩타워</t>
  </si>
  <si>
    <t>컨벤션/대형</t>
  </si>
  <si>
    <t>더컨벤션 잠실</t>
  </si>
  <si>
    <t>서울 송파구 올림픽로 319</t>
  </si>
  <si>
    <t>http://theconventionjs.iniwedding.com/</t>
  </si>
  <si>
    <t>https://map.naver.com/v5/search/더컨벤션%20잠실</t>
  </si>
  <si>
    <t>https://theconventionjs.iniwedding.com/</t>
  </si>
  <si>
    <t>공식 운영/제휴 페이지</t>
  </si>
  <si>
    <t>더컨벤션 송파문정</t>
  </si>
  <si>
    <t>서울 송파구 송파대로 155</t>
  </si>
  <si>
    <t>http://theconvention.co.kr/sp/index.php</t>
  </si>
  <si>
    <t>https://map.naver.com/v5/search/더컨벤션%20송파문정</t>
  </si>
  <si>
    <t>공식 도메인 확인</t>
  </si>
  <si>
    <t>루이비스 문정</t>
  </si>
  <si>
    <t>서울 송파구 법원로 128</t>
  </si>
  <si>
    <t>https://lvwedding.co.kr/new/m/index.html</t>
  </si>
  <si>
    <t>https://map.naver.com/v5/search/루이비스%20문정</t>
  </si>
  <si>
    <t>루벨</t>
  </si>
  <si>
    <t>강동구</t>
  </si>
  <si>
    <t>서울 강동구 천호대로 1102</t>
  </si>
  <si>
    <t>https://map.naver.com/v5/search/루벨%20강동</t>
  </si>
  <si>
    <t>동작구</t>
  </si>
  <si>
    <t>양천구</t>
  </si>
  <si>
    <t>스타시티아트홀 제2후보</t>
  </si>
  <si>
    <t>후보 복제용 슬롯</t>
  </si>
  <si>
    <t>우선순위</t>
  </si>
  <si>
    <t>식대 평균가</t>
  </si>
  <si>
    <t>최소보증</t>
  </si>
  <si>
    <t>대관료</t>
  </si>
  <si>
    <t>계약금(실제)</t>
  </si>
  <si>
    <t>계약금 가이드</t>
  </si>
  <si>
    <t>예상 총비용</t>
  </si>
  <si>
    <t>비고</t>
  </si>
  <si>
    <t>서울 웨딩홀 위치 시각화 (구 단위 내부 지도)</t>
  </si>
  <si>
    <t>이 지도는 실제 네이버 지도 임베드가 아니라 서울 구 중심 좌표를 이용한 내부 시각화입니다.</t>
  </si>
  <si>
    <t>같은 구의 웨딩홀은 약간씩 퍼뜨려 찍었습니다.</t>
  </si>
  <si>
    <t>Venue</t>
  </si>
  <si>
    <t>X</t>
  </si>
  <si>
    <t>Y</t>
  </si>
  <si>
    <t>District Label</t>
  </si>
  <si>
    <t>은평/서대문</t>
  </si>
  <si>
    <t>종로/중구</t>
  </si>
  <si>
    <t>성북/강북</t>
  </si>
  <si>
    <t>마포</t>
  </si>
  <si>
    <t>용산</t>
  </si>
  <si>
    <t>성동/광진</t>
  </si>
  <si>
    <t>영등포/구로</t>
  </si>
  <si>
    <t>서초/동작</t>
  </si>
  <si>
    <t>강남</t>
  </si>
  <si>
    <t>송파</t>
  </si>
  <si>
    <t>강동</t>
  </si>
  <si>
    <t>District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</si>
  <si>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</si>
  <si>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</si>
  <si>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</si>
  <si>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</si>
  <si>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</si>
  <si>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</si>
  <si>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</si>
  <si>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금천구</t>
  </si>
  <si>
    <t>관악구</t>
  </si>
  <si>
    <t>플래너 점수 가중치</t>
  </si>
  <si>
    <t>가성비점수</t>
  </si>
  <si>
    <t>최소보증점수</t>
  </si>
  <si>
    <t>교통점수</t>
  </si>
  <si>
    <t>검증점수</t>
  </si>
  <si>
    <t>취향적합도</t>
  </si>
  <si>
    <t>부모님선호</t>
  </si>
  <si>
    <t>예산 시뮬레이터</t>
  </si>
  <si>
    <t>예상 하객수</t>
  </si>
  <si>
    <t>식대 평균(원)</t>
  </si>
  <si>
    <t>계약금 비율</t>
  </si>
  <si>
    <t>예상 식대 합계</t>
  </si>
  <si>
    <t>예상 계약금</t>
  </si>
  <si>
    <t>요약 분석</t>
  </si>
  <si>
    <t>구분</t>
  </si>
  <si>
    <t>개수</t>
  </si>
  <si>
    <t>강남권</t>
  </si>
  <si>
    <t>비강남권</t>
  </si>
  <si>
    <t>공식링크 확인</t>
  </si>
  <si>
    <t xml:space="preserve">https://chungdamvilladegd.com/ </t>
    <phoneticPr fontId="8" type="noConversion"/>
  </si>
  <si>
    <t>-</t>
    <phoneticPr fontId="8" type="noConversion"/>
  </si>
  <si>
    <t>110000~130000</t>
    <phoneticPr fontId="8" type="noConversion"/>
  </si>
  <si>
    <t>한식/양식</t>
    <phoneticPr fontId="8" type="noConversion"/>
  </si>
  <si>
    <t>한식</t>
    <phoneticPr fontId="8" type="noConversion"/>
  </si>
  <si>
    <t>82000~95000</t>
    <phoneticPr fontId="8" type="noConversion"/>
  </si>
  <si>
    <t>최소 대관료(원)</t>
    <phoneticPr fontId="8" type="noConversion"/>
  </si>
  <si>
    <t>80000~95000</t>
    <phoneticPr fontId="8" type="noConversion"/>
  </si>
  <si>
    <t>분리</t>
    <phoneticPr fontId="8" type="noConversion"/>
  </si>
  <si>
    <t>뷔페</t>
    <phoneticPr fontId="8" type="noConversion"/>
  </si>
  <si>
    <t>양식</t>
    <phoneticPr fontId="8" type="noConversion"/>
  </si>
  <si>
    <t>빌라드지디 청담</t>
    <phoneticPr fontId="8" type="noConversion"/>
  </si>
  <si>
    <t>동시</t>
    <phoneticPr fontId="8" type="noConversion"/>
  </si>
  <si>
    <t>130000~170000</t>
    <phoneticPr fontId="8" type="noConversion"/>
  </si>
  <si>
    <t>공무원 할인 식대 -2000</t>
    <phoneticPr fontId="8" type="noConversion"/>
  </si>
  <si>
    <t>스카이뷰컨벤션</t>
    <phoneticPr fontId="8" type="noConversion"/>
  </si>
  <si>
    <t>웨딩시티 신도림</t>
    <phoneticPr fontId="8" type="noConversion"/>
  </si>
  <si>
    <t>더채플앳청담</t>
    <phoneticPr fontId="8" type="noConversion"/>
  </si>
  <si>
    <t>25000~63000</t>
    <phoneticPr fontId="8" type="noConversion"/>
  </si>
  <si>
    <t>더라빌</t>
    <phoneticPr fontId="8" type="noConversion"/>
  </si>
  <si>
    <t>87000~137000</t>
    <phoneticPr fontId="8" type="noConversion"/>
  </si>
  <si>
    <t>99000~130000</t>
    <phoneticPr fontId="8" type="noConversion"/>
  </si>
  <si>
    <t>95000~110000</t>
    <phoneticPr fontId="8" type="noConversion"/>
  </si>
  <si>
    <t>89000~130000</t>
    <phoneticPr fontId="8" type="noConversion"/>
  </si>
  <si>
    <t>성균관컨벤션웨딩홀</t>
    <phoneticPr fontId="8" type="noConversion"/>
  </si>
  <si>
    <t>아이벡스 컨벤션</t>
    <phoneticPr fontId="8" type="noConversion"/>
  </si>
  <si>
    <t>광명시</t>
    <phoneticPr fontId="8" type="noConversion"/>
  </si>
  <si>
    <t>경기 광명시 양지로 17</t>
    <phoneticPr fontId="8" type="noConversion"/>
  </si>
  <si>
    <t>경기도</t>
    <phoneticPr fontId="8" type="noConversion"/>
  </si>
  <si>
    <t>https://www.ivexwed.co.kr/</t>
    <phoneticPr fontId="8" type="noConversion"/>
  </si>
  <si>
    <t>https://map.naver.com/p/entry/place/2088999432?c=15.00,0,0,0,dh&amp;placePath=/home?from=map&amp;fromPanelNum=1&amp;additionalHeight=76&amp;timestamp=202605312335&amp;locale=ko&amp;svcName=map_pcv5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</si>
</sst>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0.0%"/>
  </numFmts>
  <fonts count="10">
    <font>
      <sz val="11"/>
      <color theme="1"/>
      <name val="맑은 고딕"/>
      <family val="2"/>
      <scheme val="minor"/>
    </font>
    <font>
      <b/>
      <sz val="16"/>
      <color rgb="FFFFFFFF"/>
      <name val="맑은 고딕"/>
      <family val="2"/>
      <charset val="129"/>
    </font>
    <font>
      <b/>
      <sz val="11"/>
      <name val="맑은 고딕"/>
      <family val="2"/>
      <charset val="129"/>
    </font>
    <font>
      <b/>
      <sz val="11"/>
      <color rgb="FFFFFFFF"/>
      <name val="맑은 고딕"/>
      <family val="2"/>
      <charset val="129"/>
    </font>
    <font>
      <sz val="11"/>
      <color rgb="FF0000FF"/>
      <name val="맑은 고딕"/>
      <family val="2"/>
      <charset val="129"/>
    </font>
    <font>
      <sz val="11"/>
      <color rgb="FF000000"/>
      <name val="맑은 고딕"/>
      <family val="2"/>
      <charset val="129"/>
    </font>
    <font>
      <sz val="11"/>
      <color rgb="FF008000"/>
      <name val="맑은 고딕"/>
      <family val="2"/>
      <charset val="129"/>
    </font>
    <font>
      <b/>
      <sz val="14"/>
      <color rgb="FFFFFFFF"/>
      <name val="맑은 고딕"/>
      <family val="2"/>
      <charset val="129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53B5C"/>
      </patternFill>
    </fill>
    <fill>
      <patternFill patternType="solid">
        <fgColor rgb="FF117A72"/>
      </patternFill>
    </fill>
    <fill>
      <patternFill patternType="solid">
        <fgColor rgb="FFEAF2FF"/>
      </patternFill>
    </fill>
    <fill>
      <patternFill patternType="solid">
        <fgColor rgb="FFF4F6F8"/>
      </patternFill>
    </fill>
    <fill>
      <patternFill patternType="solid">
        <fgColor rgb="FFFFF3BF"/>
      </patternFill>
    </fill>
    <fill>
      <patternFill patternType="solid">
        <fgColor rgb="FFE9F6EC"/>
      </patternFill>
    </fill>
    <fill>
      <patternFill patternType="solid">
        <fgColor rgb="FFFCE8D5"/>
      </patternFill>
    </fill>
    <fill>
      <patternFill patternType="solid">
        <fgColor rgb="FFE8F4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EC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30">
    <xf numFmtId="0" fontId="0" fillId="0" borderId="0" xfId="0"/>
    <xf numFmtId="0" fontId="2" fillId="0" borderId="0" xfId="0" applyFont="1"/>
    <xf numFmtId="0" fontId="0" fillId="4" borderId="1" xfId="0" applyFill="1" applyBorder="1"/>
    <xf numFmtId="0" fontId="0" fillId="0" borderId="1" xfId="0" applyBorder="1"/>
    <xf numFmtId="0" fontId="3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7" fillId="3" borderId="0" xfId="0" applyFont="1" applyFill="1"/>
    <xf numFmtId="177" fontId="0" fillId="0" borderId="1" xfId="0" applyNumberFormat="1" applyBorder="1"/>
    <xf numFmtId="0" fontId="0" fillId="6" borderId="0" xfId="0" applyFill="1"/>
    <xf numFmtId="3" fontId="0" fillId="0" borderId="0" xfId="0" applyNumberFormat="1"/>
    <xf numFmtId="177" fontId="0" fillId="0" borderId="0" xfId="0" applyNumberFormat="1"/>
    <xf numFmtId="0" fontId="2" fillId="4" borderId="0" xfId="0" applyFont="1" applyFill="1"/>
    <xf numFmtId="0" fontId="3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9" borderId="0" xfId="0" applyFill="1" applyAlignment="1">
      <alignment horizontal="center"/>
    </xf>
    <xf numFmtId="3" fontId="4" fillId="0" borderId="1" xfId="0" applyNumberFormat="1" applyFont="1" applyBorder="1" applyAlignment="1">
      <alignment horizontal="center"/>
    </xf>
    <xf numFmtId="0" fontId="0" fillId="5" borderId="1" xfId="0" applyFill="1" applyBorder="1" applyAlignment="1">
      <alignment horizontal="center"/>
    </xf>
    <xf numFmtId="3" fontId="5" fillId="6" borderId="1" xfId="0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3" fontId="5" fillId="7" borderId="1" xfId="0" applyNumberFormat="1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176" fontId="5" fillId="0" borderId="1" xfId="0" applyNumberFormat="1" applyFont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5" fillId="7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9" fillId="0" borderId="1" xfId="1" applyBorder="1" applyAlignment="1">
      <alignment horizontal="center"/>
    </xf>
    <xf numFmtId="0" fontId="1" fillId="2" borderId="0" xfId="0" applyFont="1" applyFill="1"/>
    <xf numFmtId="0" fontId="0" fillId="0" borderId="0" xfId="0"/>
    <xf numFmtId="0" fontId="1" fillId="3" borderId="0" xfId="0" applyFont="1" applyFill="1"/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ko-KR" altLang="en-US"/>
              <a:t>서울 웨딩홀 분포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Wedding Halls</c:v>
          </c:tx>
          <c:spPr>
            <a:ln>
              <a:noFill/>
              <a:prstDash val="solid"/>
            </a:ln>
          </c:spPr>
          <c:marker>
            <c:symbol val="circle"/>
            <c:size val="7"/>
            <c:spPr>
              <a:ln>
                <a:prstDash val="solid"/>
              </a:ln>
            </c:spPr>
          </c:marker>
          <c:xVal>
            <c:strRef>
              <c:f>Map_View!$B$7:$B$66</c:f>
              <c:strCache>
                <c:ptCount val="60"/>
                <c:pt idx="0">
                  <c:v>https://apelgamo.com/home/wedding3</c:v>
                </c:pt>
                <c:pt idx="1">
                  <c:v>0</c:v>
                </c:pt>
                <c:pt idx="2">
                  <c:v>#REF!</c:v>
                </c:pt>
                <c:pt idx="3">
                  <c:v>#REF!</c:v>
                </c:pt>
                <c:pt idx="4">
                  <c:v>0</c:v>
                </c:pt>
                <c:pt idx="5">
                  <c:v>0</c:v>
                </c:pt>
                <c:pt idx="6">
                  <c:v>#REF!</c:v>
                </c:pt>
                <c:pt idx="7">
                  <c:v>https://www.lalucewedding.co.kr/</c:v>
                </c:pt>
                <c:pt idx="8">
                  <c:v>#REF!</c:v>
                </c:pt>
                <c:pt idx="9">
                  <c:v>https://lvconvention.co.kr/main.html</c:v>
                </c:pt>
                <c:pt idx="10">
                  <c:v>#REF!</c:v>
                </c:pt>
                <c:pt idx="11">
                  <c:v>#REF!</c:v>
                </c:pt>
                <c:pt idx="12">
                  <c:v>0</c:v>
                </c:pt>
                <c:pt idx="13">
                  <c:v>#REF!</c:v>
                </c:pt>
                <c:pt idx="14">
                  <c:v>#REF!</c:v>
                </c:pt>
                <c:pt idx="15">
                  <c:v>#REF!</c:v>
                </c:pt>
                <c:pt idx="16">
                  <c:v>#REF!</c:v>
                </c:pt>
                <c:pt idx="17">
                  <c:v>0</c:v>
                </c:pt>
                <c:pt idx="18">
                  <c:v>#REF!</c:v>
                </c:pt>
                <c:pt idx="19">
                  <c:v>https://starcityarthall.com/</c:v>
                </c:pt>
                <c:pt idx="20">
                  <c:v>https://www.bellaluceseoul.co.kr/</c:v>
                </c:pt>
                <c:pt idx="21">
                  <c:v>#REF!</c:v>
                </c:pt>
                <c:pt idx="22">
                  <c:v>https://www.dmcwedding.co.kr/</c:v>
                </c:pt>
                <c:pt idx="23">
                  <c:v>0</c:v>
                </c:pt>
                <c:pt idx="24">
                  <c:v>0</c:v>
                </c:pt>
                <c:pt idx="25">
                  <c:v>https://www.jkart.co.kr/</c:v>
                </c:pt>
                <c:pt idx="26">
                  <c:v>https://www.grandconvention.co.kr/</c:v>
                </c:pt>
                <c:pt idx="27">
                  <c:v>http://theconvention.co.kr/ydp</c:v>
                </c:pt>
                <c:pt idx="28">
                  <c:v>https://www.tmwedding.co.kr/</c:v>
                </c:pt>
                <c:pt idx="29">
                  <c:v>https://thesaint.co.kr/</c:v>
                </c:pt>
                <c:pt idx="30">
                  <c:v>0</c:v>
                </c:pt>
                <c:pt idx="31">
                  <c:v>https://eltower.co.kr/</c:v>
                </c:pt>
                <c:pt idx="32">
                  <c:v>https://thewhiteveil.co.kr/</c:v>
                </c:pt>
                <c:pt idx="33">
                  <c:v>https://apelgamo.com/home/wedding2</c:v>
                </c:pt>
                <c:pt idx="34">
                  <c:v>#REF!</c:v>
                </c:pt>
                <c:pt idx="35">
                  <c:v>https://noblevalentidaechi.co.kr/</c:v>
                </c:pt>
                <c:pt idx="36">
                  <c:v>https://noblevalenti.co.kr/</c:v>
                </c:pt>
                <c:pt idx="37">
                  <c:v>https://chungdamvilladegd.com/</c:v>
                </c:pt>
                <c:pt idx="38">
                  <c:v>https://suseovilladegd.com/FAQ</c:v>
                </c:pt>
                <c:pt idx="39">
                  <c:v>https://www.thechapel.co.kr/home/wedding1</c:v>
                </c:pt>
                <c:pt idx="40">
                  <c:v>https://srwedding.co.kr/</c:v>
                </c:pt>
                <c:pt idx="41">
                  <c:v>#REF!</c:v>
                </c:pt>
                <c:pt idx="42">
                  <c:v>https://xn--939ao9fob394buxtzvc.com/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https://www.sonofeliceconvention.com/</c:v>
                </c:pt>
                <c:pt idx="51">
                  <c:v>https://apelgamo.com/home/wedding1</c:v>
                </c:pt>
                <c:pt idx="52">
                  <c:v>https://www.swtower.com/</c:v>
                </c:pt>
                <c:pt idx="53">
                  <c:v>https://theconventionjs.iniwedding.com/</c:v>
                </c:pt>
                <c:pt idx="54">
                  <c:v>http://theconvention.co.kr/sp/index.php</c:v>
                </c:pt>
                <c:pt idx="55">
                  <c:v>https://lvwedding.co.kr/new/m/index.html</c:v>
                </c:pt>
                <c:pt idx="56">
                  <c:v>0</c:v>
                </c:pt>
                <c:pt idx="57">
                  <c:v>#REF!</c:v>
                </c:pt>
                <c:pt idx="58">
                  <c:v>#REF!</c:v>
                </c:pt>
                <c:pt idx="59">
                  <c:v>https://starcityarthall.com/</c:v>
                </c:pt>
              </c:strCache>
            </c:strRef>
          </c:xVal>
          <c:yVal>
            <c:numRef>
              <c:f>Map_View!$C$7:$C$66</c:f>
              <c:numCache>
                <c:formatCode>General</c:formatCode>
                <c:ptCount val="60"/>
                <c:pt idx="0">
                  <c:v>53.8</c:v>
                </c:pt>
                <c:pt idx="1">
                  <c:v>54.6</c:v>
                </c:pt>
                <c:pt idx="2">
                  <c:v>0</c:v>
                </c:pt>
                <c:pt idx="3">
                  <c:v>0</c:v>
                </c:pt>
                <c:pt idx="4">
                  <c:v>53.8</c:v>
                </c:pt>
                <c:pt idx="5">
                  <c:v>54.6</c:v>
                </c:pt>
                <c:pt idx="6">
                  <c:v>0</c:v>
                </c:pt>
                <c:pt idx="7">
                  <c:v>53.8</c:v>
                </c:pt>
                <c:pt idx="8">
                  <c:v>0</c:v>
                </c:pt>
                <c:pt idx="9">
                  <c:v>55.4</c:v>
                </c:pt>
                <c:pt idx="10">
                  <c:v>0</c:v>
                </c:pt>
                <c:pt idx="11">
                  <c:v>0</c:v>
                </c:pt>
                <c:pt idx="12">
                  <c:v>52.4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61.2</c:v>
                </c:pt>
                <c:pt idx="18">
                  <c:v>0</c:v>
                </c:pt>
                <c:pt idx="19">
                  <c:v>65.8</c:v>
                </c:pt>
                <c:pt idx="20">
                  <c:v>61.8</c:v>
                </c:pt>
                <c:pt idx="21">
                  <c:v>0</c:v>
                </c:pt>
                <c:pt idx="22">
                  <c:v>44.6</c:v>
                </c:pt>
                <c:pt idx="23">
                  <c:v>45.4</c:v>
                </c:pt>
                <c:pt idx="24">
                  <c:v>40.799999999999997</c:v>
                </c:pt>
                <c:pt idx="25">
                  <c:v>41.6</c:v>
                </c:pt>
                <c:pt idx="26">
                  <c:v>42.4</c:v>
                </c:pt>
                <c:pt idx="27">
                  <c:v>43.2</c:v>
                </c:pt>
                <c:pt idx="28">
                  <c:v>34.799999999999997</c:v>
                </c:pt>
                <c:pt idx="29">
                  <c:v>35.6</c:v>
                </c:pt>
                <c:pt idx="30">
                  <c:v>29.8</c:v>
                </c:pt>
                <c:pt idx="31">
                  <c:v>54.8</c:v>
                </c:pt>
                <c:pt idx="32">
                  <c:v>55.6</c:v>
                </c:pt>
                <c:pt idx="33">
                  <c:v>56.4</c:v>
                </c:pt>
                <c:pt idx="34">
                  <c:v>0</c:v>
                </c:pt>
                <c:pt idx="35">
                  <c:v>60.8</c:v>
                </c:pt>
                <c:pt idx="36">
                  <c:v>61.6</c:v>
                </c:pt>
                <c:pt idx="37">
                  <c:v>62.4</c:v>
                </c:pt>
                <c:pt idx="38">
                  <c:v>63.2</c:v>
                </c:pt>
                <c:pt idx="39">
                  <c:v>60.8</c:v>
                </c:pt>
                <c:pt idx="40">
                  <c:v>61.6</c:v>
                </c:pt>
                <c:pt idx="41">
                  <c:v>0</c:v>
                </c:pt>
                <c:pt idx="42">
                  <c:v>63.2</c:v>
                </c:pt>
                <c:pt idx="43">
                  <c:v>60.8</c:v>
                </c:pt>
                <c:pt idx="44">
                  <c:v>61.6</c:v>
                </c:pt>
                <c:pt idx="45">
                  <c:v>62.4</c:v>
                </c:pt>
                <c:pt idx="46">
                  <c:v>63.2</c:v>
                </c:pt>
                <c:pt idx="47">
                  <c:v>60.8</c:v>
                </c:pt>
                <c:pt idx="48">
                  <c:v>61.6</c:v>
                </c:pt>
                <c:pt idx="49">
                  <c:v>62.4</c:v>
                </c:pt>
                <c:pt idx="50">
                  <c:v>63.2</c:v>
                </c:pt>
                <c:pt idx="51">
                  <c:v>66.8</c:v>
                </c:pt>
                <c:pt idx="52">
                  <c:v>67.599999999999994</c:v>
                </c:pt>
                <c:pt idx="53">
                  <c:v>68.400000000000006</c:v>
                </c:pt>
                <c:pt idx="54">
                  <c:v>69.2</c:v>
                </c:pt>
                <c:pt idx="55">
                  <c:v>66.8</c:v>
                </c:pt>
                <c:pt idx="56">
                  <c:v>72.8</c:v>
                </c:pt>
                <c:pt idx="57">
                  <c:v>0</c:v>
                </c:pt>
                <c:pt idx="58">
                  <c:v>0</c:v>
                </c:pt>
                <c:pt idx="59">
                  <c:v>66.599999999999994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7E8-B845-9882-691E28B6F0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  <c:max val="78"/>
          <c:min val="28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West ↔ East</a:t>
                </a:r>
              </a:p>
            </c:rich>
          </c:tx>
          <c:overlay val="1"/>
        </c:title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  <c:max val="80"/>
          <c:min val="38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"/>
                  <a:t>South ↔ North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ko-KR" altLang="en-US"/>
              <a:t>홀톤 분포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Summary!$A$6:$A$8</c:f>
              <c:strCache>
                <c:ptCount val="3"/>
                <c:pt idx="0">
                  <c:v>밝은홀</c:v>
                </c:pt>
                <c:pt idx="1">
                  <c:v>어두운홀</c:v>
                </c:pt>
                <c:pt idx="2">
                  <c:v>혼합</c:v>
                </c:pt>
              </c:strCache>
            </c:strRef>
          </c:cat>
          <c:val>
            <c:numRef>
              <c:f>Summary!$B$6:$B$8</c:f>
              <c:numCache>
                <c:formatCode>General</c:formatCode>
                <c:ptCount val="3"/>
                <c:pt idx="0">
                  <c:v>19</c:v>
                </c:pt>
                <c:pt idx="1">
                  <c:v>14</c:v>
                </c:pt>
                <c:pt idx="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7C-FD46-9685-CE5A6F44AB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2</xdr:row>
      <xdr:rowOff>0</xdr:rowOff>
    </xdr:from>
    <xdr:ext cx="720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</xdr:row>
      <xdr:rowOff>0</xdr:rowOff>
    </xdr:from>
    <xdr:ext cx="360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map.naver.com/p/entry/place/2088999432?c=15.00,0,0,0,dh&amp;placePath=/home?from=map&amp;fromPanelNum=1&amp;additionalHeight=76&amp;timestamp=202605312335&amp;locale=ko&amp;svcName=map_pcv5" TargetMode="External"/><Relationship Id="rId2" Type="http://schemas.openxmlformats.org/officeDocument/2006/relationships/hyperlink" Target="https://www.ivexwed.co.kr/" TargetMode="External"/><Relationship Id="rId1" Type="http://schemas.openxmlformats.org/officeDocument/2006/relationships/hyperlink" Target="https://chungdamvilladegd.com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showGridLines="0" workbookViewId="0">
      <selection sqref="A1:H1"/>
    </sheetView>
  </sheetViews>
  <sheetFormatPr baseColWidth="10" defaultColWidth="8.83203125" defaultRowHeight="17"/>
  <cols>
    <col min="1" max="8" width="24" customWidth="1"/>
  </cols>
  <sheetData>
    <row r="1" spans="1:8" ht="23">
      <c r="A1" s="27" t="s">
        <v>0</v>
      </c>
      <c r="B1" s="28"/>
      <c r="C1" s="28"/>
      <c r="D1" s="28"/>
      <c r="E1" s="28"/>
      <c r="F1" s="28"/>
      <c r="G1" s="28"/>
      <c r="H1" s="28"/>
    </row>
    <row r="3" spans="1:8">
      <c r="A3" t="s">
        <v>1</v>
      </c>
    </row>
    <row r="4" spans="1:8">
      <c r="A4" t="s">
        <v>2</v>
      </c>
    </row>
    <row r="5" spans="1:8">
      <c r="A5" t="s">
        <v>3</v>
      </c>
    </row>
    <row r="7" spans="1:8">
      <c r="A7" t="s">
        <v>4</v>
      </c>
    </row>
    <row r="8" spans="1:8">
      <c r="A8" t="s">
        <v>5</v>
      </c>
    </row>
    <row r="9" spans="1:8">
      <c r="A9" t="s">
        <v>6</v>
      </c>
    </row>
    <row r="10" spans="1:8">
      <c r="A10" t="s">
        <v>7</v>
      </c>
    </row>
    <row r="11" spans="1:8">
      <c r="A11" t="s">
        <v>8</v>
      </c>
    </row>
    <row r="13" spans="1:8">
      <c r="A13" t="s">
        <v>9</v>
      </c>
    </row>
    <row r="14" spans="1:8">
      <c r="A14" t="s">
        <v>10</v>
      </c>
    </row>
    <row r="15" spans="1:8">
      <c r="A15" t="s">
        <v>11</v>
      </c>
    </row>
    <row r="16" spans="1:8">
      <c r="A16" t="s">
        <v>12</v>
      </c>
    </row>
    <row r="17" spans="1:1">
      <c r="A17" t="s">
        <v>13</v>
      </c>
    </row>
  </sheetData>
  <mergeCells count="1">
    <mergeCell ref="A1:H1"/>
  </mergeCells>
  <phoneticPr fontId="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"/>
  <sheetViews>
    <sheetView showGridLines="0" workbookViewId="0">
      <selection sqref="A1:H1"/>
    </sheetView>
  </sheetViews>
  <sheetFormatPr baseColWidth="10" defaultColWidth="8.83203125" defaultRowHeight="17"/>
  <cols>
    <col min="1" max="1" width="22" customWidth="1"/>
    <col min="2" max="2" width="18" customWidth="1"/>
    <col min="3" max="3" width="4" customWidth="1"/>
    <col min="4" max="4" width="48" customWidth="1"/>
    <col min="5" max="8" width="14" customWidth="1"/>
  </cols>
  <sheetData>
    <row r="1" spans="1:8" ht="23">
      <c r="A1" s="29" t="s">
        <v>14</v>
      </c>
      <c r="B1" s="28"/>
      <c r="C1" s="28"/>
      <c r="D1" s="28"/>
      <c r="E1" s="28"/>
      <c r="F1" s="28"/>
      <c r="G1" s="28"/>
      <c r="H1" s="28"/>
    </row>
    <row r="3" spans="1:8">
      <c r="A3" s="1" t="s">
        <v>15</v>
      </c>
      <c r="D3" s="1" t="s">
        <v>16</v>
      </c>
    </row>
    <row r="4" spans="1:8">
      <c r="A4" s="2" t="s">
        <v>17</v>
      </c>
      <c r="B4" s="3">
        <f>COUNTA(Master_60!B2:B46)</f>
        <v>45</v>
      </c>
      <c r="D4" t="s">
        <v>18</v>
      </c>
    </row>
    <row r="5" spans="1:8">
      <c r="A5" s="2" t="s">
        <v>19</v>
      </c>
      <c r="B5" s="3">
        <f>COUNTIF(Master_60!V2:V46,"&lt;&gt;")</f>
        <v>45</v>
      </c>
      <c r="D5" t="s">
        <v>20</v>
      </c>
    </row>
    <row r="6" spans="1:8">
      <c r="A6" s="2" t="s">
        <v>21</v>
      </c>
      <c r="B6" s="3">
        <f>COUNTIF(Master_60!K2:K46,"&gt;0")</f>
        <v>0</v>
      </c>
      <c r="D6" t="s">
        <v>22</v>
      </c>
    </row>
    <row r="7" spans="1:8">
      <c r="A7" s="2" t="s">
        <v>23</v>
      </c>
      <c r="B7" s="3">
        <f>COUNTIF(Master_60!S2:S46,"&gt;0")</f>
        <v>5</v>
      </c>
      <c r="D7" t="s">
        <v>24</v>
      </c>
    </row>
    <row r="8" spans="1:8">
      <c r="A8" s="2" t="s">
        <v>25</v>
      </c>
      <c r="B8" s="3">
        <f>IFERROR(AVERAGE(Master_60!L2:L46),0)</f>
        <v>96015.555555555562</v>
      </c>
    </row>
    <row r="9" spans="1:8">
      <c r="A9" s="2" t="s">
        <v>26</v>
      </c>
      <c r="B9" s="3">
        <f>IFERROR(AVERAGE(Master_60!N2:N46),0)</f>
        <v>96051.515151515152</v>
      </c>
      <c r="D9" t="s">
        <v>27</v>
      </c>
    </row>
    <row r="10" spans="1:8">
      <c r="A10" s="2" t="s">
        <v>28</v>
      </c>
      <c r="B10" s="3">
        <f>IFERROR(AVERAGE(Master_60!Z2:Z46),0)</f>
        <v>0</v>
      </c>
      <c r="D10" t="s">
        <v>29</v>
      </c>
    </row>
    <row r="11" spans="1:8">
      <c r="A11" s="2" t="s">
        <v>30</v>
      </c>
      <c r="B11" s="3">
        <f>COUNTIF(Master_60!W2:W46,"미확인")</f>
        <v>0</v>
      </c>
      <c r="D11" t="s">
        <v>31</v>
      </c>
    </row>
    <row r="12" spans="1:8">
      <c r="D12" t="s">
        <v>32</v>
      </c>
    </row>
    <row r="13" spans="1:8">
      <c r="D13" t="s">
        <v>33</v>
      </c>
    </row>
    <row r="14" spans="1:8">
      <c r="D14" t="s">
        <v>34</v>
      </c>
    </row>
    <row r="15" spans="1:8">
      <c r="D15" t="s">
        <v>35</v>
      </c>
    </row>
  </sheetData>
  <mergeCells count="1">
    <mergeCell ref="A1:H1"/>
  </mergeCells>
  <phoneticPr fontId="8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V47"/>
  <sheetViews>
    <sheetView showGridLines="0" tabSelected="1" workbookViewId="0">
      <pane ySplit="1" topLeftCell="A2" activePane="bottomLeft" state="frozen"/>
      <selection pane="bottomLeft" activeCell="M13" sqref="M13"/>
    </sheetView>
  </sheetViews>
  <sheetFormatPr baseColWidth="10" defaultColWidth="8.83203125" defaultRowHeight="17"/>
  <cols>
    <col min="1" max="1" width="5" style="13" customWidth="1"/>
    <col min="2" max="2" width="28.83203125" style="13" bestFit="1" customWidth="1"/>
    <col min="3" max="3" width="11" style="13" customWidth="1"/>
    <col min="4" max="4" width="30" style="13" customWidth="1"/>
    <col min="5" max="7" width="10" style="13" customWidth="1"/>
    <col min="8" max="8" width="12" style="13" customWidth="1"/>
    <col min="9" max="9" width="8" style="13" customWidth="1"/>
    <col min="10" max="10" width="10" style="13" customWidth="1"/>
    <col min="11" max="12" width="13" style="13" customWidth="1"/>
    <col min="13" max="13" width="15" style="13" customWidth="1"/>
    <col min="14" max="14" width="15.6640625" style="13" bestFit="1" customWidth="1"/>
    <col min="15" max="15" width="11" style="13" customWidth="1"/>
    <col min="16" max="17" width="12" style="13" customWidth="1"/>
    <col min="18" max="18" width="16.83203125" style="13" bestFit="1" customWidth="1"/>
    <col min="19" max="21" width="12" style="13" customWidth="1"/>
    <col min="22" max="22" width="28" style="13" customWidth="1"/>
    <col min="23" max="23" width="59.33203125" style="13" bestFit="1" customWidth="1"/>
    <col min="24" max="24" width="28" style="13" customWidth="1"/>
    <col min="25" max="25" width="66.6640625" style="13" bestFit="1" customWidth="1"/>
    <col min="26" max="26" width="10" style="13" customWidth="1"/>
    <col min="27" max="27" width="12" style="13" customWidth="1"/>
    <col min="28" max="28" width="18" style="13" customWidth="1"/>
    <col min="29" max="29" width="16" style="13" customWidth="1"/>
    <col min="30" max="30" width="15" style="13" bestFit="1" customWidth="1"/>
    <col min="31" max="31" width="28" style="13" customWidth="1"/>
    <col min="32" max="33" width="8" style="13" customWidth="1"/>
    <col min="34" max="34" width="24" style="13" customWidth="1"/>
    <col min="35" max="35" width="33.83203125" style="13" bestFit="1" customWidth="1"/>
    <col min="36" max="37" width="10" style="13" customWidth="1"/>
    <col min="38" max="38" width="20" style="13" customWidth="1"/>
    <col min="39" max="40" width="12" style="13" customWidth="1"/>
    <col min="41" max="41" width="14" style="13" customWidth="1"/>
    <col min="42" max="45" width="12" style="13" customWidth="1"/>
    <col min="46" max="46" width="10" style="13" customWidth="1"/>
    <col min="47" max="47" width="14" style="13" customWidth="1"/>
    <col min="48" max="48" width="24" style="13" customWidth="1"/>
    <col min="49" max="16384" width="8.83203125" style="13"/>
  </cols>
  <sheetData>
    <row r="1" spans="1:48" ht="36">
      <c r="A1" s="4" t="s">
        <v>36</v>
      </c>
      <c r="B1" s="4" t="s">
        <v>37</v>
      </c>
      <c r="C1" s="4" t="s">
        <v>38</v>
      </c>
      <c r="D1" s="4" t="s">
        <v>39</v>
      </c>
      <c r="E1" s="4" t="s">
        <v>40</v>
      </c>
      <c r="F1" s="4" t="s">
        <v>41</v>
      </c>
      <c r="G1" s="12" t="s">
        <v>42</v>
      </c>
      <c r="H1" s="4" t="s">
        <v>43</v>
      </c>
      <c r="I1" s="4" t="s">
        <v>44</v>
      </c>
      <c r="J1" s="4" t="s">
        <v>45</v>
      </c>
      <c r="K1" s="4" t="s">
        <v>46</v>
      </c>
      <c r="L1" s="4" t="s">
        <v>47</v>
      </c>
      <c r="M1" s="4" t="s">
        <v>48</v>
      </c>
      <c r="N1" s="4" t="s">
        <v>49</v>
      </c>
      <c r="O1" s="4" t="s">
        <v>50</v>
      </c>
      <c r="P1" s="4" t="s">
        <v>51</v>
      </c>
      <c r="Q1" s="4" t="s">
        <v>52</v>
      </c>
      <c r="R1" s="4" t="s">
        <v>362</v>
      </c>
      <c r="S1" s="4" t="s">
        <v>53</v>
      </c>
      <c r="T1" s="4" t="s">
        <v>54</v>
      </c>
      <c r="U1" s="4" t="s">
        <v>55</v>
      </c>
      <c r="V1" s="4" t="s">
        <v>56</v>
      </c>
      <c r="W1" s="4" t="s">
        <v>57</v>
      </c>
      <c r="X1" s="4" t="s">
        <v>58</v>
      </c>
      <c r="Y1" s="4" t="s">
        <v>59</v>
      </c>
      <c r="Z1" s="4" t="s">
        <v>60</v>
      </c>
      <c r="AA1" s="4" t="s">
        <v>61</v>
      </c>
      <c r="AB1" s="4" t="s">
        <v>62</v>
      </c>
      <c r="AC1" s="4" t="s">
        <v>63</v>
      </c>
      <c r="AD1" s="4" t="s">
        <v>64</v>
      </c>
      <c r="AE1" s="4" t="s">
        <v>65</v>
      </c>
      <c r="AF1" s="4" t="s">
        <v>66</v>
      </c>
      <c r="AG1" s="4" t="s">
        <v>67</v>
      </c>
      <c r="AH1" s="4" t="s">
        <v>68</v>
      </c>
      <c r="AI1" s="4" t="s">
        <v>69</v>
      </c>
      <c r="AJ1" s="4" t="s">
        <v>70</v>
      </c>
      <c r="AK1" s="4" t="s">
        <v>71</v>
      </c>
      <c r="AL1" s="4" t="s">
        <v>72</v>
      </c>
      <c r="AM1" s="4" t="s">
        <v>73</v>
      </c>
      <c r="AN1" s="4" t="s">
        <v>74</v>
      </c>
      <c r="AO1" s="4" t="s">
        <v>75</v>
      </c>
      <c r="AP1" s="4" t="s">
        <v>76</v>
      </c>
      <c r="AQ1" s="4" t="s">
        <v>77</v>
      </c>
      <c r="AR1" s="4" t="s">
        <v>78</v>
      </c>
      <c r="AS1" s="4" t="s">
        <v>79</v>
      </c>
      <c r="AT1" s="4" t="s">
        <v>80</v>
      </c>
      <c r="AU1" s="4" t="s">
        <v>81</v>
      </c>
      <c r="AV1" s="4" t="s">
        <v>82</v>
      </c>
    </row>
    <row r="2" spans="1:48">
      <c r="A2" s="14">
        <v>1</v>
      </c>
      <c r="B2" s="14" t="s">
        <v>83</v>
      </c>
      <c r="C2" s="14" t="s">
        <v>84</v>
      </c>
      <c r="D2" s="14" t="s">
        <v>85</v>
      </c>
      <c r="E2" s="14" t="s">
        <v>86</v>
      </c>
      <c r="F2" s="14" t="s">
        <v>87</v>
      </c>
      <c r="G2" s="15" t="s">
        <v>88</v>
      </c>
      <c r="H2" s="14" t="s">
        <v>89</v>
      </c>
      <c r="I2" s="14">
        <v>90</v>
      </c>
      <c r="J2" s="14">
        <v>1</v>
      </c>
      <c r="K2" s="14" t="s">
        <v>90</v>
      </c>
      <c r="L2" s="16">
        <v>85000</v>
      </c>
      <c r="M2" s="16">
        <v>110000</v>
      </c>
      <c r="N2" s="17" t="s">
        <v>91</v>
      </c>
      <c r="O2" s="16">
        <v>300</v>
      </c>
      <c r="P2" s="16">
        <v>550</v>
      </c>
      <c r="Q2" s="16">
        <v>6500000</v>
      </c>
      <c r="R2" s="16"/>
      <c r="S2" s="16"/>
      <c r="T2" s="16"/>
      <c r="U2" s="16"/>
      <c r="V2" s="18">
        <f t="shared" ref="V2:V21" si="0">IF(AND(T2="",AB2&gt;0),ROUND(AB2*10%,-4),T2)</f>
        <v>0</v>
      </c>
      <c r="W2" s="19" t="s">
        <v>92</v>
      </c>
      <c r="X2" s="17" t="s">
        <v>93</v>
      </c>
      <c r="Y2" s="19" t="s">
        <v>94</v>
      </c>
      <c r="Z2" s="17" t="s">
        <v>95</v>
      </c>
      <c r="AA2" s="17"/>
      <c r="AB2" s="17"/>
      <c r="AC2" s="20" t="e">
        <f t="shared" ref="AC2:AC21" si="1">IF(AND(L2&gt;0,N2&gt;0),L2*N2+IF(P2="",0,P2)+IF(Q2="",0,Q2)+IF(S2="",0,S2),"")</f>
        <v>#VALUE!</v>
      </c>
      <c r="AD2" s="21">
        <f t="shared" ref="AD2:AD21" si="2">IF(COUNTA(B2:AB2)=0,"",COUNTA(B2:AB2)-COUNTBLANK(B2:AB2))</f>
        <v>15</v>
      </c>
      <c r="AE2" s="19"/>
      <c r="AF2" s="17" t="s">
        <v>92</v>
      </c>
      <c r="AG2" s="22">
        <v>53.8</v>
      </c>
      <c r="AH2" s="22">
        <v>63.8</v>
      </c>
      <c r="AI2" s="14" t="s">
        <v>96</v>
      </c>
      <c r="AJ2" s="13" t="str">
        <f t="shared" ref="AJ2:AJ21" si="3">IF(OR(C2="강남구",C2="서초구",C2="송파구"),"강남권","비강남권")</f>
        <v>비강남권</v>
      </c>
      <c r="AK2" s="13" t="str">
        <f t="shared" ref="AK2:AK21" si="4">IF(C2="강남구","강남",IF(C2="서초구","서초",IF(C2="송파구","송파",IF(C2="영등포구","영등포",IF(C2="마포구","마포","기타")))))</f>
        <v>기타</v>
      </c>
      <c r="AL2" s="23" t="s">
        <v>97</v>
      </c>
      <c r="AM2" s="24">
        <v>1</v>
      </c>
      <c r="AN2" s="24">
        <f t="shared" ref="AN2:AN21" si="5">IF(M2="","",IF(M2&lt;=70000,5,IF(M2&lt;=85000,4,IF(M2&lt;=100000,3,IF(M2&lt;=120000,2,1)))))</f>
        <v>2</v>
      </c>
      <c r="AO2" s="24">
        <f t="shared" ref="AO2:AO21" si="6">IF(O2="","",IF(O2&lt;=150,5,IF(O2&lt;=200,4,IF(O2&lt;=250,3,IF(O2&lt;=300,2,1)))))</f>
        <v>2</v>
      </c>
      <c r="AP2" s="24">
        <f t="shared" ref="AP2:AP21" si="7">IF(B2="","",IF(AND(X2="확인",U2&gt;0),5,IF(X2="확인",4,IF(AE2&lt;&gt;"",2,1))))</f>
        <v>4</v>
      </c>
      <c r="AQ2" s="23">
        <v>4</v>
      </c>
      <c r="AR2" s="23">
        <v>4</v>
      </c>
      <c r="AS2" s="24">
        <f>IF(B2="","",ROUND(AN2*Assumptions!$B$3+AO2*Assumptions!$B$4+AM2*Assumptions!$B$5+AP2*Assumptions!$B$6+AQ2*Assumptions!$B$7+AR2*Assumptions!$B$8,2))</f>
        <v>2.85</v>
      </c>
      <c r="AT2" s="25" t="str">
        <f t="shared" ref="AT2:AT21" si="8">IF(AS2="","",IF(AS2&gt;=4.2,"A",IF(AS2&gt;=3.4,"B","C")))</f>
        <v>C</v>
      </c>
      <c r="AU2" s="25" t="str">
        <f t="shared" ref="AU2:AU21" si="9">IF(AD2="","",IF(AD2&lt;=25000000,"~2.5억",IF(AD2&lt;=35000000,"2.5~3.5억",IF(AD2&lt;=50000000,"3.5~5억","5억+"))))</f>
        <v>~2.5억</v>
      </c>
      <c r="AV2" s="23"/>
    </row>
    <row r="3" spans="1:48">
      <c r="A3" s="14">
        <v>2</v>
      </c>
      <c r="B3" s="14" t="s">
        <v>98</v>
      </c>
      <c r="C3" s="14" t="s">
        <v>84</v>
      </c>
      <c r="D3" s="14" t="s">
        <v>99</v>
      </c>
      <c r="E3" s="14" t="s">
        <v>86</v>
      </c>
      <c r="F3" s="14" t="s">
        <v>87</v>
      </c>
      <c r="G3" s="15" t="s">
        <v>197</v>
      </c>
      <c r="H3" s="14" t="s">
        <v>364</v>
      </c>
      <c r="I3" s="14">
        <v>120</v>
      </c>
      <c r="J3" s="14">
        <v>3</v>
      </c>
      <c r="K3" s="14" t="s">
        <v>365</v>
      </c>
      <c r="L3" s="16">
        <v>130000</v>
      </c>
      <c r="M3" s="16">
        <v>109000</v>
      </c>
      <c r="N3" s="17" t="s">
        <v>379</v>
      </c>
      <c r="O3" s="16">
        <v>200</v>
      </c>
      <c r="P3" s="16">
        <v>800</v>
      </c>
      <c r="Q3" s="16">
        <v>17000000</v>
      </c>
      <c r="R3" s="16">
        <v>13000000</v>
      </c>
      <c r="S3" s="16" t="s">
        <v>357</v>
      </c>
      <c r="T3" s="16" t="s">
        <v>357</v>
      </c>
      <c r="U3" s="16" t="s">
        <v>357</v>
      </c>
      <c r="V3" s="18" t="str">
        <f t="shared" si="0"/>
        <v>-</v>
      </c>
      <c r="W3" s="19"/>
      <c r="X3" s="17" t="s">
        <v>100</v>
      </c>
      <c r="Y3" s="19" t="s">
        <v>101</v>
      </c>
      <c r="Z3" s="17"/>
      <c r="AA3" s="17"/>
      <c r="AB3" s="17"/>
      <c r="AC3" s="20" t="e">
        <f t="shared" si="1"/>
        <v>#VALUE!</v>
      </c>
      <c r="AD3" s="21">
        <f t="shared" si="2"/>
        <v>19</v>
      </c>
      <c r="AE3" s="19"/>
      <c r="AF3" s="17"/>
      <c r="AG3" s="22">
        <v>54.6</v>
      </c>
      <c r="AH3" s="22">
        <v>63.8</v>
      </c>
      <c r="AI3" s="14" t="s">
        <v>102</v>
      </c>
      <c r="AJ3" s="13" t="str">
        <f t="shared" si="3"/>
        <v>비강남권</v>
      </c>
      <c r="AK3" s="13" t="str">
        <f t="shared" si="4"/>
        <v>기타</v>
      </c>
      <c r="AL3" s="23"/>
      <c r="AM3" s="24" t="e">
        <f t="shared" ref="AM3:AM21" si="10">IF(B3="","",MIN(5,IF(ISNUMBER(SEARCH("역",AC3)),4,IF(AC3&lt;&gt;"",3,2))+IF(Z3&lt;&gt;"",1,0)))</f>
        <v>#VALUE!</v>
      </c>
      <c r="AN3" s="24">
        <f t="shared" si="5"/>
        <v>2</v>
      </c>
      <c r="AO3" s="24">
        <f t="shared" si="6"/>
        <v>4</v>
      </c>
      <c r="AP3" s="24">
        <f t="shared" si="7"/>
        <v>1</v>
      </c>
      <c r="AQ3" s="23">
        <v>3</v>
      </c>
      <c r="AR3" s="23">
        <v>3</v>
      </c>
      <c r="AS3" s="24" t="e">
        <f>IF(B3="","",ROUND(AN3*Assumptions!$B$3+AO3*Assumptions!$B$4+AM3*Assumptions!$B$5+AP3*Assumptions!$B$6+AQ3*Assumptions!$B$7+AR3*Assumptions!$B$8,2))</f>
        <v>#VALUE!</v>
      </c>
      <c r="AT3" s="25" t="e">
        <f t="shared" si="8"/>
        <v>#VALUE!</v>
      </c>
      <c r="AU3" s="25" t="str">
        <f t="shared" si="9"/>
        <v>~2.5억</v>
      </c>
      <c r="AV3" s="23"/>
    </row>
    <row r="4" spans="1:48">
      <c r="A4" s="14">
        <v>5</v>
      </c>
      <c r="B4" s="14" t="s">
        <v>380</v>
      </c>
      <c r="C4" s="14" t="s">
        <v>84</v>
      </c>
      <c r="D4" s="14" t="s">
        <v>104</v>
      </c>
      <c r="E4" s="14" t="s">
        <v>86</v>
      </c>
      <c r="F4" s="14" t="s">
        <v>87</v>
      </c>
      <c r="G4" s="15" t="s">
        <v>166</v>
      </c>
      <c r="H4" s="14" t="s">
        <v>364</v>
      </c>
      <c r="I4" s="14">
        <v>90</v>
      </c>
      <c r="J4" s="14">
        <v>1</v>
      </c>
      <c r="K4" s="14" t="s">
        <v>365</v>
      </c>
      <c r="L4" s="16">
        <v>75000</v>
      </c>
      <c r="M4" s="16">
        <v>75000</v>
      </c>
      <c r="N4" s="17">
        <v>75000</v>
      </c>
      <c r="O4" s="16">
        <v>200</v>
      </c>
      <c r="P4" s="16">
        <v>500</v>
      </c>
      <c r="Q4" s="16">
        <v>8350000</v>
      </c>
      <c r="R4" s="16" t="s">
        <v>357</v>
      </c>
      <c r="S4" s="16" t="s">
        <v>357</v>
      </c>
      <c r="T4" s="16" t="s">
        <v>357</v>
      </c>
      <c r="U4" s="16" t="s">
        <v>357</v>
      </c>
      <c r="V4" s="18" t="str">
        <f t="shared" si="0"/>
        <v>-</v>
      </c>
      <c r="W4" s="19"/>
      <c r="X4" s="17" t="s">
        <v>100</v>
      </c>
      <c r="Y4" s="19" t="s">
        <v>105</v>
      </c>
      <c r="Z4" s="17"/>
      <c r="AA4" s="17"/>
      <c r="AB4" s="17"/>
      <c r="AC4" s="20" t="e">
        <f t="shared" si="1"/>
        <v>#VALUE!</v>
      </c>
      <c r="AD4" s="21">
        <f t="shared" si="2"/>
        <v>19</v>
      </c>
      <c r="AE4" s="19"/>
      <c r="AF4" s="17"/>
      <c r="AG4" s="22">
        <v>53.8</v>
      </c>
      <c r="AH4" s="22">
        <v>64.599999999999994</v>
      </c>
      <c r="AI4" s="14" t="s">
        <v>102</v>
      </c>
      <c r="AJ4" s="13" t="str">
        <f t="shared" si="3"/>
        <v>비강남권</v>
      </c>
      <c r="AK4" s="13" t="str">
        <f t="shared" si="4"/>
        <v>기타</v>
      </c>
      <c r="AL4" s="23"/>
      <c r="AM4" s="24" t="e">
        <f t="shared" si="10"/>
        <v>#VALUE!</v>
      </c>
      <c r="AN4" s="24">
        <f t="shared" si="5"/>
        <v>4</v>
      </c>
      <c r="AO4" s="24">
        <f t="shared" si="6"/>
        <v>4</v>
      </c>
      <c r="AP4" s="24">
        <f t="shared" si="7"/>
        <v>1</v>
      </c>
      <c r="AQ4" s="23">
        <v>3</v>
      </c>
      <c r="AR4" s="23">
        <v>3</v>
      </c>
      <c r="AS4" s="24" t="e">
        <f>IF(B4="","",ROUND(AN4*Assumptions!$B$3+AO4*Assumptions!$B$4+AM4*Assumptions!$B$5+AP4*Assumptions!$B$6+AQ4*Assumptions!$B$7+AR4*Assumptions!$B$8,2))</f>
        <v>#VALUE!</v>
      </c>
      <c r="AT4" s="25" t="e">
        <f t="shared" si="8"/>
        <v>#VALUE!</v>
      </c>
      <c r="AU4" s="25" t="str">
        <f t="shared" si="9"/>
        <v>~2.5억</v>
      </c>
      <c r="AV4" s="23"/>
    </row>
    <row r="5" spans="1:48">
      <c r="A5" s="14">
        <v>6</v>
      </c>
      <c r="B5" s="14" t="s">
        <v>106</v>
      </c>
      <c r="C5" s="14" t="s">
        <v>84</v>
      </c>
      <c r="D5" s="14" t="s">
        <v>107</v>
      </c>
      <c r="E5" s="14" t="s">
        <v>86</v>
      </c>
      <c r="F5" s="14" t="s">
        <v>87</v>
      </c>
      <c r="G5" s="15" t="s">
        <v>166</v>
      </c>
      <c r="H5" s="14" t="s">
        <v>364</v>
      </c>
      <c r="I5" s="14">
        <v>70</v>
      </c>
      <c r="J5" s="14">
        <v>1</v>
      </c>
      <c r="K5" s="14" t="s">
        <v>365</v>
      </c>
      <c r="L5" s="16">
        <v>70000</v>
      </c>
      <c r="M5" s="16">
        <v>70000</v>
      </c>
      <c r="N5" s="17">
        <v>70000</v>
      </c>
      <c r="O5" s="16">
        <v>200</v>
      </c>
      <c r="P5" s="16">
        <v>800</v>
      </c>
      <c r="Q5" s="16">
        <v>6000000</v>
      </c>
      <c r="R5" s="16" t="s">
        <v>357</v>
      </c>
      <c r="S5" s="16" t="s">
        <v>357</v>
      </c>
      <c r="T5" s="16" t="s">
        <v>357</v>
      </c>
      <c r="U5" s="16" t="s">
        <v>357</v>
      </c>
      <c r="V5" s="18" t="str">
        <f t="shared" si="0"/>
        <v>-</v>
      </c>
      <c r="W5" s="19"/>
      <c r="X5" s="17" t="s">
        <v>100</v>
      </c>
      <c r="Y5" s="19" t="s">
        <v>108</v>
      </c>
      <c r="Z5" s="17"/>
      <c r="AA5" s="17"/>
      <c r="AB5" s="17"/>
      <c r="AC5" s="20" t="e">
        <f t="shared" si="1"/>
        <v>#VALUE!</v>
      </c>
      <c r="AD5" s="21">
        <f t="shared" si="2"/>
        <v>19</v>
      </c>
      <c r="AE5" s="19"/>
      <c r="AF5" s="17"/>
      <c r="AG5" s="22">
        <v>54.6</v>
      </c>
      <c r="AH5" s="22">
        <v>64.599999999999994</v>
      </c>
      <c r="AI5" s="14" t="s">
        <v>102</v>
      </c>
      <c r="AJ5" s="13" t="str">
        <f t="shared" si="3"/>
        <v>비강남권</v>
      </c>
      <c r="AK5" s="13" t="str">
        <f t="shared" si="4"/>
        <v>기타</v>
      </c>
      <c r="AL5" s="23"/>
      <c r="AM5" s="24" t="e">
        <f t="shared" si="10"/>
        <v>#VALUE!</v>
      </c>
      <c r="AN5" s="24">
        <f t="shared" si="5"/>
        <v>5</v>
      </c>
      <c r="AO5" s="24">
        <f t="shared" si="6"/>
        <v>4</v>
      </c>
      <c r="AP5" s="24">
        <f t="shared" si="7"/>
        <v>1</v>
      </c>
      <c r="AQ5" s="23">
        <v>3</v>
      </c>
      <c r="AR5" s="23">
        <v>3</v>
      </c>
      <c r="AS5" s="24" t="e">
        <f>IF(B5="","",ROUND(AN5*Assumptions!$B$3+AO5*Assumptions!$B$4+AM5*Assumptions!$B$5+AP5*Assumptions!$B$6+AQ5*Assumptions!$B$7+AR5*Assumptions!$B$8,2))</f>
        <v>#VALUE!</v>
      </c>
      <c r="AT5" s="25" t="e">
        <f t="shared" si="8"/>
        <v>#VALUE!</v>
      </c>
      <c r="AU5" s="25" t="str">
        <f t="shared" si="9"/>
        <v>~2.5억</v>
      </c>
      <c r="AV5" s="23"/>
    </row>
    <row r="6" spans="1:48">
      <c r="A6" s="14">
        <v>8</v>
      </c>
      <c r="B6" s="14" t="s">
        <v>109</v>
      </c>
      <c r="C6" s="14" t="s">
        <v>110</v>
      </c>
      <c r="D6" s="14" t="s">
        <v>111</v>
      </c>
      <c r="E6" s="14" t="s">
        <v>86</v>
      </c>
      <c r="F6" s="14" t="s">
        <v>103</v>
      </c>
      <c r="G6" s="15" t="s">
        <v>88</v>
      </c>
      <c r="H6" s="14" t="s">
        <v>89</v>
      </c>
      <c r="I6" s="14">
        <v>120</v>
      </c>
      <c r="J6" s="14">
        <v>2</v>
      </c>
      <c r="K6" s="14" t="s">
        <v>365</v>
      </c>
      <c r="L6" s="16">
        <v>110000</v>
      </c>
      <c r="M6" s="16">
        <v>110000</v>
      </c>
      <c r="N6" s="17">
        <v>110000</v>
      </c>
      <c r="O6" s="16">
        <v>200</v>
      </c>
      <c r="P6" s="16">
        <v>1500</v>
      </c>
      <c r="Q6" s="16">
        <v>15000000</v>
      </c>
      <c r="R6" s="16" t="s">
        <v>357</v>
      </c>
      <c r="S6" s="16" t="s">
        <v>357</v>
      </c>
      <c r="T6" s="16" t="s">
        <v>357</v>
      </c>
      <c r="U6" s="16" t="s">
        <v>357</v>
      </c>
      <c r="V6" s="18" t="str">
        <f t="shared" si="0"/>
        <v>-</v>
      </c>
      <c r="W6" s="19" t="s">
        <v>112</v>
      </c>
      <c r="X6" s="17" t="s">
        <v>93</v>
      </c>
      <c r="Y6" s="19" t="s">
        <v>113</v>
      </c>
      <c r="Z6" s="17" t="s">
        <v>95</v>
      </c>
      <c r="AA6" s="17"/>
      <c r="AB6" s="17"/>
      <c r="AC6" s="20" t="e">
        <f t="shared" si="1"/>
        <v>#VALUE!</v>
      </c>
      <c r="AD6" s="21">
        <f t="shared" si="2"/>
        <v>23</v>
      </c>
      <c r="AE6" s="19"/>
      <c r="AF6" s="17" t="s">
        <v>112</v>
      </c>
      <c r="AG6" s="22">
        <v>53.8</v>
      </c>
      <c r="AH6" s="22">
        <v>58.8</v>
      </c>
      <c r="AI6" s="14" t="s">
        <v>114</v>
      </c>
      <c r="AJ6" s="13" t="str">
        <f t="shared" si="3"/>
        <v>비강남권</v>
      </c>
      <c r="AK6" s="13" t="str">
        <f t="shared" si="4"/>
        <v>기타</v>
      </c>
      <c r="AL6" s="23" t="s">
        <v>115</v>
      </c>
      <c r="AM6" s="24" t="e">
        <f t="shared" si="10"/>
        <v>#VALUE!</v>
      </c>
      <c r="AN6" s="24">
        <f t="shared" si="5"/>
        <v>2</v>
      </c>
      <c r="AO6" s="24">
        <f t="shared" si="6"/>
        <v>4</v>
      </c>
      <c r="AP6" s="24">
        <f t="shared" si="7"/>
        <v>5</v>
      </c>
      <c r="AQ6" s="23">
        <v>5</v>
      </c>
      <c r="AR6" s="23">
        <v>5</v>
      </c>
      <c r="AS6" s="24" t="e">
        <f>IF(B6="","",ROUND(AN6*Assumptions!$B$3+AO6*Assumptions!$B$4+AM6*Assumptions!$B$5+AP6*Assumptions!$B$6+AQ6*Assumptions!$B$7+AR6*Assumptions!$B$8,2))</f>
        <v>#VALUE!</v>
      </c>
      <c r="AT6" s="25" t="e">
        <f t="shared" si="8"/>
        <v>#VALUE!</v>
      </c>
      <c r="AU6" s="25" t="str">
        <f t="shared" si="9"/>
        <v>~2.5억</v>
      </c>
      <c r="AV6" s="23"/>
    </row>
    <row r="7" spans="1:48">
      <c r="A7" s="14">
        <v>10</v>
      </c>
      <c r="B7" s="14" t="s">
        <v>116</v>
      </c>
      <c r="C7" s="14" t="s">
        <v>110</v>
      </c>
      <c r="D7" s="14" t="s">
        <v>117</v>
      </c>
      <c r="E7" s="14" t="s">
        <v>86</v>
      </c>
      <c r="F7" s="14" t="s">
        <v>87</v>
      </c>
      <c r="G7" s="15" t="s">
        <v>166</v>
      </c>
      <c r="H7" s="14" t="s">
        <v>364</v>
      </c>
      <c r="I7" s="14">
        <v>70</v>
      </c>
      <c r="J7" s="14">
        <v>1</v>
      </c>
      <c r="K7" s="14" t="s">
        <v>365</v>
      </c>
      <c r="L7" s="16">
        <v>87000</v>
      </c>
      <c r="M7" s="16">
        <v>87000</v>
      </c>
      <c r="N7" s="17">
        <v>87000</v>
      </c>
      <c r="O7" s="16">
        <v>300</v>
      </c>
      <c r="P7" s="16">
        <v>800</v>
      </c>
      <c r="Q7" s="16">
        <v>9500000</v>
      </c>
      <c r="R7" s="16" t="s">
        <v>357</v>
      </c>
      <c r="S7" s="16" t="s">
        <v>357</v>
      </c>
      <c r="T7" s="16" t="s">
        <v>357</v>
      </c>
      <c r="U7" s="16" t="s">
        <v>357</v>
      </c>
      <c r="V7" s="18" t="str">
        <f t="shared" si="0"/>
        <v>-</v>
      </c>
      <c r="W7" s="19" t="s">
        <v>118</v>
      </c>
      <c r="X7" s="17" t="s">
        <v>93</v>
      </c>
      <c r="Y7" s="19" t="s">
        <v>119</v>
      </c>
      <c r="Z7" s="17" t="s">
        <v>95</v>
      </c>
      <c r="AA7" s="17"/>
      <c r="AB7" s="17"/>
      <c r="AC7" s="20" t="e">
        <f t="shared" si="1"/>
        <v>#VALUE!</v>
      </c>
      <c r="AD7" s="21">
        <f t="shared" si="2"/>
        <v>23</v>
      </c>
      <c r="AE7" s="19"/>
      <c r="AF7" s="17" t="s">
        <v>118</v>
      </c>
      <c r="AG7" s="22">
        <v>55.4</v>
      </c>
      <c r="AH7" s="22">
        <v>58.8</v>
      </c>
      <c r="AI7" s="14" t="s">
        <v>114</v>
      </c>
      <c r="AJ7" s="13" t="str">
        <f t="shared" si="3"/>
        <v>비강남권</v>
      </c>
      <c r="AK7" s="13" t="str">
        <f t="shared" si="4"/>
        <v>기타</v>
      </c>
      <c r="AL7" s="23"/>
      <c r="AM7" s="24" t="e">
        <f t="shared" si="10"/>
        <v>#VALUE!</v>
      </c>
      <c r="AN7" s="24">
        <f t="shared" si="5"/>
        <v>3</v>
      </c>
      <c r="AO7" s="24">
        <f t="shared" si="6"/>
        <v>2</v>
      </c>
      <c r="AP7" s="24">
        <f t="shared" si="7"/>
        <v>5</v>
      </c>
      <c r="AQ7" s="23">
        <v>3</v>
      </c>
      <c r="AR7" s="23">
        <v>3</v>
      </c>
      <c r="AS7" s="24" t="e">
        <f>IF(B7="","",ROUND(AN7*Assumptions!$B$3+AO7*Assumptions!$B$4+AM7*Assumptions!$B$5+AP7*Assumptions!$B$6+AQ7*Assumptions!$B$7+AR7*Assumptions!$B$8,2))</f>
        <v>#VALUE!</v>
      </c>
      <c r="AT7" s="25" t="e">
        <f t="shared" si="8"/>
        <v>#VALUE!</v>
      </c>
      <c r="AU7" s="25" t="str">
        <f t="shared" si="9"/>
        <v>~2.5억</v>
      </c>
      <c r="AV7" s="23"/>
    </row>
    <row r="8" spans="1:48">
      <c r="A8" s="14">
        <v>13</v>
      </c>
      <c r="B8" s="14" t="s">
        <v>121</v>
      </c>
      <c r="C8" s="14" t="s">
        <v>120</v>
      </c>
      <c r="D8" s="14" t="s">
        <v>122</v>
      </c>
      <c r="E8" s="14" t="s">
        <v>86</v>
      </c>
      <c r="F8" s="14" t="s">
        <v>103</v>
      </c>
      <c r="G8" s="15" t="s">
        <v>88</v>
      </c>
      <c r="H8" s="14" t="s">
        <v>368</v>
      </c>
      <c r="I8" s="14">
        <v>360</v>
      </c>
      <c r="J8" s="14">
        <v>1</v>
      </c>
      <c r="K8" s="14" t="s">
        <v>366</v>
      </c>
      <c r="L8" s="16">
        <v>98000</v>
      </c>
      <c r="M8" s="16">
        <v>98000</v>
      </c>
      <c r="N8" s="17">
        <v>98000</v>
      </c>
      <c r="O8" s="16">
        <v>120</v>
      </c>
      <c r="P8" s="16">
        <v>300</v>
      </c>
      <c r="Q8" s="16">
        <v>5500000</v>
      </c>
      <c r="R8" s="16" t="s">
        <v>357</v>
      </c>
      <c r="S8" s="16">
        <v>9800000</v>
      </c>
      <c r="T8" s="16" t="s">
        <v>357</v>
      </c>
      <c r="U8" s="16" t="s">
        <v>357</v>
      </c>
      <c r="V8" s="18" t="str">
        <f t="shared" si="0"/>
        <v>-</v>
      </c>
      <c r="W8" s="19"/>
      <c r="X8" s="17" t="s">
        <v>100</v>
      </c>
      <c r="Y8" s="19" t="s">
        <v>123</v>
      </c>
      <c r="Z8" s="17"/>
      <c r="AA8" s="17"/>
      <c r="AB8" s="17"/>
      <c r="AC8" s="20">
        <f t="shared" si="1"/>
        <v>9619300300</v>
      </c>
      <c r="AD8" s="21">
        <f t="shared" si="2"/>
        <v>19</v>
      </c>
      <c r="AE8" s="19"/>
      <c r="AF8" s="17"/>
      <c r="AG8" s="22">
        <v>52.4</v>
      </c>
      <c r="AH8" s="22">
        <v>54.8</v>
      </c>
      <c r="AI8" s="14" t="s">
        <v>124</v>
      </c>
      <c r="AJ8" s="13" t="str">
        <f t="shared" si="3"/>
        <v>비강남권</v>
      </c>
      <c r="AK8" s="13" t="str">
        <f t="shared" si="4"/>
        <v>기타</v>
      </c>
      <c r="AL8" s="23"/>
      <c r="AM8" s="24">
        <f t="shared" si="10"/>
        <v>3</v>
      </c>
      <c r="AN8" s="24">
        <f t="shared" si="5"/>
        <v>3</v>
      </c>
      <c r="AO8" s="24">
        <f t="shared" si="6"/>
        <v>5</v>
      </c>
      <c r="AP8" s="24">
        <f t="shared" si="7"/>
        <v>1</v>
      </c>
      <c r="AQ8" s="23">
        <v>3</v>
      </c>
      <c r="AR8" s="23">
        <v>3</v>
      </c>
      <c r="AS8" s="24">
        <f>IF(B8="","",ROUND(AN8*Assumptions!$B$3+AO8*Assumptions!$B$4+AM8*Assumptions!$B$5+AP8*Assumptions!$B$6+AQ8*Assumptions!$B$7+AR8*Assumptions!$B$8,2))</f>
        <v>2.8</v>
      </c>
      <c r="AT8" s="25" t="str">
        <f t="shared" si="8"/>
        <v>C</v>
      </c>
      <c r="AU8" s="25" t="str">
        <f t="shared" si="9"/>
        <v>~2.5억</v>
      </c>
      <c r="AV8" s="23"/>
    </row>
    <row r="9" spans="1:48">
      <c r="A9" s="14">
        <v>18</v>
      </c>
      <c r="B9" s="14" t="s">
        <v>128</v>
      </c>
      <c r="C9" s="14" t="s">
        <v>125</v>
      </c>
      <c r="D9" s="14" t="s">
        <v>129</v>
      </c>
      <c r="E9" s="14" t="s">
        <v>86</v>
      </c>
      <c r="F9" s="14" t="s">
        <v>87</v>
      </c>
      <c r="G9" s="15" t="s">
        <v>166</v>
      </c>
      <c r="H9" s="14" t="s">
        <v>364</v>
      </c>
      <c r="I9" s="14">
        <v>90</v>
      </c>
      <c r="J9" s="14">
        <v>1</v>
      </c>
      <c r="K9" s="14" t="s">
        <v>365</v>
      </c>
      <c r="L9" s="16">
        <v>80000</v>
      </c>
      <c r="M9" s="16">
        <v>80000</v>
      </c>
      <c r="N9" s="17">
        <v>80000</v>
      </c>
      <c r="O9" s="16">
        <v>200</v>
      </c>
      <c r="P9" s="16">
        <v>1000</v>
      </c>
      <c r="Q9" s="16">
        <v>8000000</v>
      </c>
      <c r="R9" s="16" t="s">
        <v>357</v>
      </c>
      <c r="S9" s="16" t="s">
        <v>357</v>
      </c>
      <c r="T9" s="16" t="s">
        <v>357</v>
      </c>
      <c r="U9" s="16" t="s">
        <v>357</v>
      </c>
      <c r="V9" s="18" t="str">
        <f t="shared" si="0"/>
        <v>-</v>
      </c>
      <c r="W9" s="19"/>
      <c r="X9" s="17" t="s">
        <v>100</v>
      </c>
      <c r="Y9" s="19" t="s">
        <v>130</v>
      </c>
      <c r="Z9" s="17"/>
      <c r="AA9" s="17"/>
      <c r="AB9" s="17"/>
      <c r="AC9" s="20" t="e">
        <f t="shared" si="1"/>
        <v>#VALUE!</v>
      </c>
      <c r="AD9" s="21">
        <f t="shared" si="2"/>
        <v>19</v>
      </c>
      <c r="AE9" s="19"/>
      <c r="AF9" s="17"/>
      <c r="AG9" s="22">
        <v>61.2</v>
      </c>
      <c r="AH9" s="22">
        <v>56.8</v>
      </c>
      <c r="AI9" s="14" t="s">
        <v>102</v>
      </c>
      <c r="AJ9" s="13" t="str">
        <f t="shared" si="3"/>
        <v>비강남권</v>
      </c>
      <c r="AK9" s="13" t="str">
        <f t="shared" si="4"/>
        <v>기타</v>
      </c>
      <c r="AL9" s="23"/>
      <c r="AM9" s="24" t="e">
        <f t="shared" si="10"/>
        <v>#VALUE!</v>
      </c>
      <c r="AN9" s="24">
        <f t="shared" si="5"/>
        <v>4</v>
      </c>
      <c r="AO9" s="24">
        <f t="shared" si="6"/>
        <v>4</v>
      </c>
      <c r="AP9" s="24">
        <f t="shared" si="7"/>
        <v>1</v>
      </c>
      <c r="AQ9" s="23">
        <v>3</v>
      </c>
      <c r="AR9" s="23">
        <v>3</v>
      </c>
      <c r="AS9" s="24" t="e">
        <f>IF(B9="","",ROUND(AN9*Assumptions!$B$3+AO9*Assumptions!$B$4+AM9*Assumptions!$B$5+AP9*Assumptions!$B$6+AQ9*Assumptions!$B$7+AR9*Assumptions!$B$8,2))</f>
        <v>#VALUE!</v>
      </c>
      <c r="AT9" s="25" t="e">
        <f t="shared" si="8"/>
        <v>#VALUE!</v>
      </c>
      <c r="AU9" s="25" t="str">
        <f t="shared" si="9"/>
        <v>~2.5억</v>
      </c>
      <c r="AV9" s="23"/>
    </row>
    <row r="10" spans="1:48">
      <c r="A10" s="14">
        <v>20</v>
      </c>
      <c r="B10" s="14" t="s">
        <v>131</v>
      </c>
      <c r="C10" s="14" t="s">
        <v>132</v>
      </c>
      <c r="D10" s="14" t="s">
        <v>133</v>
      </c>
      <c r="E10" s="14" t="s">
        <v>86</v>
      </c>
      <c r="F10" s="14" t="s">
        <v>87</v>
      </c>
      <c r="G10" s="15" t="s">
        <v>88</v>
      </c>
      <c r="H10" s="14" t="s">
        <v>364</v>
      </c>
      <c r="I10" s="14">
        <v>80</v>
      </c>
      <c r="J10" s="14">
        <v>1</v>
      </c>
      <c r="K10" s="14" t="s">
        <v>360</v>
      </c>
      <c r="L10" s="16">
        <v>85000</v>
      </c>
      <c r="M10" s="16">
        <v>85000</v>
      </c>
      <c r="N10" s="17">
        <v>85000</v>
      </c>
      <c r="O10" s="16">
        <v>250</v>
      </c>
      <c r="P10" s="16">
        <v>700</v>
      </c>
      <c r="Q10" s="16">
        <v>9000000</v>
      </c>
      <c r="R10" s="16"/>
      <c r="S10" s="16" t="s">
        <v>357</v>
      </c>
      <c r="T10" s="16" t="s">
        <v>357</v>
      </c>
      <c r="U10" s="16"/>
      <c r="V10" s="18" t="str">
        <f t="shared" si="0"/>
        <v>-</v>
      </c>
      <c r="W10" s="19" t="s">
        <v>134</v>
      </c>
      <c r="X10" s="17" t="s">
        <v>93</v>
      </c>
      <c r="Y10" s="19" t="s">
        <v>135</v>
      </c>
      <c r="Z10" s="17" t="s">
        <v>95</v>
      </c>
      <c r="AA10" s="17"/>
      <c r="AB10" s="17"/>
      <c r="AC10" s="20" t="e">
        <f t="shared" si="1"/>
        <v>#VALUE!</v>
      </c>
      <c r="AD10" s="21">
        <f t="shared" si="2"/>
        <v>19</v>
      </c>
      <c r="AE10" s="19"/>
      <c r="AF10" s="17" t="s">
        <v>134</v>
      </c>
      <c r="AG10" s="22">
        <v>65.8</v>
      </c>
      <c r="AH10" s="22">
        <v>56.8</v>
      </c>
      <c r="AI10" s="14" t="s">
        <v>114</v>
      </c>
      <c r="AJ10" s="13" t="str">
        <f t="shared" si="3"/>
        <v>비강남권</v>
      </c>
      <c r="AK10" s="13" t="str">
        <f t="shared" si="4"/>
        <v>기타</v>
      </c>
      <c r="AL10" s="23" t="s">
        <v>136</v>
      </c>
      <c r="AM10" s="24" t="e">
        <f t="shared" si="10"/>
        <v>#VALUE!</v>
      </c>
      <c r="AN10" s="24">
        <f t="shared" si="5"/>
        <v>4</v>
      </c>
      <c r="AO10" s="24">
        <f t="shared" si="6"/>
        <v>3</v>
      </c>
      <c r="AP10" s="24">
        <f t="shared" si="7"/>
        <v>4</v>
      </c>
      <c r="AQ10" s="23">
        <v>4</v>
      </c>
      <c r="AR10" s="23">
        <v>4</v>
      </c>
      <c r="AS10" s="24" t="e">
        <f>IF(B10="","",ROUND(AN10*Assumptions!$B$3+AO10*Assumptions!$B$4+AM10*Assumptions!$B$5+AP10*Assumptions!$B$6+AQ10*Assumptions!$B$7+AR10*Assumptions!$B$8,2))</f>
        <v>#VALUE!</v>
      </c>
      <c r="AT10" s="25" t="e">
        <f t="shared" si="8"/>
        <v>#VALUE!</v>
      </c>
      <c r="AU10" s="25" t="str">
        <f t="shared" si="9"/>
        <v>~2.5억</v>
      </c>
      <c r="AV10" s="23"/>
    </row>
    <row r="11" spans="1:48">
      <c r="A11" s="14">
        <v>21</v>
      </c>
      <c r="B11" s="14" t="s">
        <v>137</v>
      </c>
      <c r="C11" s="14" t="s">
        <v>138</v>
      </c>
      <c r="D11" s="14" t="s">
        <v>139</v>
      </c>
      <c r="E11" s="14" t="s">
        <v>86</v>
      </c>
      <c r="F11" s="14" t="s">
        <v>87</v>
      </c>
      <c r="G11" s="15" t="s">
        <v>197</v>
      </c>
      <c r="H11" s="14" t="s">
        <v>89</v>
      </c>
      <c r="I11" s="14">
        <v>90</v>
      </c>
      <c r="J11" s="14">
        <v>3</v>
      </c>
      <c r="K11" s="14" t="s">
        <v>365</v>
      </c>
      <c r="L11" s="16">
        <v>88000</v>
      </c>
      <c r="M11" s="16">
        <v>88000</v>
      </c>
      <c r="N11" s="17">
        <v>88000</v>
      </c>
      <c r="O11" s="16">
        <v>200</v>
      </c>
      <c r="P11" s="16">
        <v>350</v>
      </c>
      <c r="Q11" s="16">
        <v>8800000</v>
      </c>
      <c r="R11" s="16" t="s">
        <v>357</v>
      </c>
      <c r="S11" s="16" t="s">
        <v>357</v>
      </c>
      <c r="T11" s="16" t="s">
        <v>357</v>
      </c>
      <c r="U11" s="16" t="s">
        <v>357</v>
      </c>
      <c r="V11" s="18" t="str">
        <f t="shared" si="0"/>
        <v>-</v>
      </c>
      <c r="W11" s="19" t="s">
        <v>140</v>
      </c>
      <c r="X11" s="17" t="s">
        <v>93</v>
      </c>
      <c r="Y11" s="19" t="s">
        <v>141</v>
      </c>
      <c r="Z11" s="17" t="s">
        <v>95</v>
      </c>
      <c r="AA11" s="17"/>
      <c r="AB11" s="17"/>
      <c r="AC11" s="20" t="e">
        <f t="shared" si="1"/>
        <v>#VALUE!</v>
      </c>
      <c r="AD11" s="21">
        <f t="shared" si="2"/>
        <v>23</v>
      </c>
      <c r="AE11" s="19"/>
      <c r="AF11" s="17" t="s">
        <v>140</v>
      </c>
      <c r="AG11" s="22">
        <v>61.8</v>
      </c>
      <c r="AH11" s="22">
        <v>60.8</v>
      </c>
      <c r="AI11" s="14" t="s">
        <v>114</v>
      </c>
      <c r="AJ11" s="13" t="str">
        <f t="shared" si="3"/>
        <v>비강남권</v>
      </c>
      <c r="AK11" s="13" t="str">
        <f t="shared" si="4"/>
        <v>기타</v>
      </c>
      <c r="AL11" s="23"/>
      <c r="AM11" s="24" t="e">
        <f t="shared" si="10"/>
        <v>#VALUE!</v>
      </c>
      <c r="AN11" s="24">
        <f t="shared" si="5"/>
        <v>3</v>
      </c>
      <c r="AO11" s="24">
        <f t="shared" si="6"/>
        <v>4</v>
      </c>
      <c r="AP11" s="24">
        <f t="shared" si="7"/>
        <v>5</v>
      </c>
      <c r="AQ11" s="23">
        <v>3</v>
      </c>
      <c r="AR11" s="23">
        <v>3</v>
      </c>
      <c r="AS11" s="24" t="e">
        <f>IF(B11="","",ROUND(AN11*Assumptions!$B$3+AO11*Assumptions!$B$4+AM11*Assumptions!$B$5+AP11*Assumptions!$B$6+AQ11*Assumptions!$B$7+AR11*Assumptions!$B$8,2))</f>
        <v>#VALUE!</v>
      </c>
      <c r="AT11" s="25" t="e">
        <f t="shared" si="8"/>
        <v>#VALUE!</v>
      </c>
      <c r="AU11" s="25" t="str">
        <f t="shared" si="9"/>
        <v>~2.5억</v>
      </c>
      <c r="AV11" s="23"/>
    </row>
    <row r="12" spans="1:48">
      <c r="A12" s="14">
        <v>23</v>
      </c>
      <c r="B12" s="14" t="s">
        <v>144</v>
      </c>
      <c r="C12" s="14" t="s">
        <v>142</v>
      </c>
      <c r="D12" s="14" t="s">
        <v>145</v>
      </c>
      <c r="E12" s="14" t="s">
        <v>86</v>
      </c>
      <c r="F12" s="14" t="s">
        <v>87</v>
      </c>
      <c r="G12" s="15" t="s">
        <v>88</v>
      </c>
      <c r="H12" s="14" t="s">
        <v>364</v>
      </c>
      <c r="I12" s="14">
        <v>90</v>
      </c>
      <c r="J12" s="14">
        <v>3</v>
      </c>
      <c r="K12" s="14" t="s">
        <v>365</v>
      </c>
      <c r="L12" s="16">
        <v>93000</v>
      </c>
      <c r="M12" s="16">
        <v>93000</v>
      </c>
      <c r="N12" s="17">
        <v>93000</v>
      </c>
      <c r="O12" s="16">
        <v>250</v>
      </c>
      <c r="P12" s="16">
        <v>500</v>
      </c>
      <c r="Q12" s="16">
        <v>17000000</v>
      </c>
      <c r="R12" s="16" t="s">
        <v>357</v>
      </c>
      <c r="S12" s="16" t="s">
        <v>357</v>
      </c>
      <c r="T12" s="16" t="s">
        <v>357</v>
      </c>
      <c r="U12" s="16" t="s">
        <v>357</v>
      </c>
      <c r="V12" s="18" t="str">
        <f t="shared" si="0"/>
        <v>-</v>
      </c>
      <c r="W12" s="19" t="s">
        <v>146</v>
      </c>
      <c r="X12" s="17" t="s">
        <v>93</v>
      </c>
      <c r="Y12" s="19" t="s">
        <v>147</v>
      </c>
      <c r="Z12" s="17" t="s">
        <v>95</v>
      </c>
      <c r="AA12" s="17"/>
      <c r="AB12" s="17"/>
      <c r="AC12" s="20" t="e">
        <f t="shared" si="1"/>
        <v>#VALUE!</v>
      </c>
      <c r="AD12" s="21">
        <f t="shared" si="2"/>
        <v>23</v>
      </c>
      <c r="AE12" s="19"/>
      <c r="AF12" s="17" t="s">
        <v>146</v>
      </c>
      <c r="AG12" s="22">
        <v>44.6</v>
      </c>
      <c r="AH12" s="22">
        <v>56.8</v>
      </c>
      <c r="AI12" s="14" t="s">
        <v>114</v>
      </c>
      <c r="AJ12" s="13" t="str">
        <f t="shared" si="3"/>
        <v>비강남권</v>
      </c>
      <c r="AK12" s="13" t="str">
        <f t="shared" si="4"/>
        <v>마포</v>
      </c>
      <c r="AL12" s="23"/>
      <c r="AM12" s="24" t="e">
        <f t="shared" si="10"/>
        <v>#VALUE!</v>
      </c>
      <c r="AN12" s="24">
        <f t="shared" si="5"/>
        <v>3</v>
      </c>
      <c r="AO12" s="24">
        <f t="shared" si="6"/>
        <v>3</v>
      </c>
      <c r="AP12" s="24">
        <f t="shared" si="7"/>
        <v>5</v>
      </c>
      <c r="AQ12" s="23">
        <v>3</v>
      </c>
      <c r="AR12" s="23">
        <v>3</v>
      </c>
      <c r="AS12" s="24" t="e">
        <f>IF(B12="","",ROUND(AN12*Assumptions!$B$3+AO12*Assumptions!$B$4+AM12*Assumptions!$B$5+AP12*Assumptions!$B$6+AQ12*Assumptions!$B$7+AR12*Assumptions!$B$8,2))</f>
        <v>#VALUE!</v>
      </c>
      <c r="AT12" s="25" t="e">
        <f t="shared" si="8"/>
        <v>#VALUE!</v>
      </c>
      <c r="AU12" s="25" t="str">
        <f t="shared" si="9"/>
        <v>~2.5억</v>
      </c>
      <c r="AV12" s="23"/>
    </row>
    <row r="13" spans="1:48">
      <c r="A13" s="14">
        <v>24</v>
      </c>
      <c r="B13" s="14" t="s">
        <v>148</v>
      </c>
      <c r="C13" s="14" t="s">
        <v>142</v>
      </c>
      <c r="D13" s="14" t="s">
        <v>149</v>
      </c>
      <c r="E13" s="14" t="s">
        <v>86</v>
      </c>
      <c r="F13" s="14" t="s">
        <v>87</v>
      </c>
      <c r="G13" s="15" t="s">
        <v>88</v>
      </c>
      <c r="H13" s="14" t="s">
        <v>364</v>
      </c>
      <c r="I13" s="14">
        <v>90</v>
      </c>
      <c r="J13" s="14">
        <v>2</v>
      </c>
      <c r="K13" s="14" t="s">
        <v>365</v>
      </c>
      <c r="L13" s="16">
        <v>89000</v>
      </c>
      <c r="M13" s="16">
        <v>89000</v>
      </c>
      <c r="N13" s="17">
        <v>89000</v>
      </c>
      <c r="O13" s="16">
        <v>250</v>
      </c>
      <c r="P13" s="16">
        <v>1200</v>
      </c>
      <c r="Q13" s="16">
        <v>8500000</v>
      </c>
      <c r="R13" s="16" t="s">
        <v>357</v>
      </c>
      <c r="S13" s="16" t="s">
        <v>357</v>
      </c>
      <c r="T13" s="16" t="s">
        <v>357</v>
      </c>
      <c r="U13" s="16" t="s">
        <v>357</v>
      </c>
      <c r="V13" s="18" t="str">
        <f t="shared" si="0"/>
        <v>-</v>
      </c>
      <c r="W13" s="19"/>
      <c r="X13" s="17" t="s">
        <v>100</v>
      </c>
      <c r="Y13" s="19" t="s">
        <v>150</v>
      </c>
      <c r="Z13" s="17"/>
      <c r="AA13" s="17"/>
      <c r="AB13" s="17"/>
      <c r="AC13" s="20" t="e">
        <f t="shared" si="1"/>
        <v>#VALUE!</v>
      </c>
      <c r="AD13" s="21">
        <f t="shared" si="2"/>
        <v>19</v>
      </c>
      <c r="AE13" s="19"/>
      <c r="AF13" s="17"/>
      <c r="AG13" s="22">
        <v>45.4</v>
      </c>
      <c r="AH13" s="22">
        <v>56.8</v>
      </c>
      <c r="AI13" s="14" t="s">
        <v>102</v>
      </c>
      <c r="AJ13" s="13" t="str">
        <f t="shared" si="3"/>
        <v>비강남권</v>
      </c>
      <c r="AK13" s="13" t="str">
        <f t="shared" si="4"/>
        <v>마포</v>
      </c>
      <c r="AL13" s="23"/>
      <c r="AM13" s="24" t="e">
        <f t="shared" si="10"/>
        <v>#VALUE!</v>
      </c>
      <c r="AN13" s="24">
        <f t="shared" si="5"/>
        <v>3</v>
      </c>
      <c r="AO13" s="24">
        <f t="shared" si="6"/>
        <v>3</v>
      </c>
      <c r="AP13" s="24">
        <f t="shared" si="7"/>
        <v>1</v>
      </c>
      <c r="AQ13" s="23">
        <v>3</v>
      </c>
      <c r="AR13" s="23">
        <v>3</v>
      </c>
      <c r="AS13" s="24" t="e">
        <f>IF(B13="","",ROUND(AN13*Assumptions!$B$3+AO13*Assumptions!$B$4+AM13*Assumptions!$B$5+AP13*Assumptions!$B$6+AQ13*Assumptions!$B$7+AR13*Assumptions!$B$8,2))</f>
        <v>#VALUE!</v>
      </c>
      <c r="AT13" s="25" t="e">
        <f t="shared" si="8"/>
        <v>#VALUE!</v>
      </c>
      <c r="AU13" s="25" t="str">
        <f t="shared" si="9"/>
        <v>~2.5억</v>
      </c>
      <c r="AV13" s="23"/>
    </row>
    <row r="14" spans="1:48">
      <c r="A14" s="14">
        <v>25</v>
      </c>
      <c r="B14" s="14" t="s">
        <v>151</v>
      </c>
      <c r="C14" s="14" t="s">
        <v>152</v>
      </c>
      <c r="D14" s="14" t="s">
        <v>153</v>
      </c>
      <c r="E14" s="14" t="s">
        <v>86</v>
      </c>
      <c r="F14" s="14" t="s">
        <v>87</v>
      </c>
      <c r="G14" s="15" t="s">
        <v>166</v>
      </c>
      <c r="H14" s="14" t="s">
        <v>364</v>
      </c>
      <c r="I14" s="14">
        <v>80</v>
      </c>
      <c r="J14" s="14">
        <v>2</v>
      </c>
      <c r="K14" s="14" t="s">
        <v>360</v>
      </c>
      <c r="L14" s="16">
        <v>121000</v>
      </c>
      <c r="M14" s="16">
        <v>121000</v>
      </c>
      <c r="N14" s="17">
        <v>121000</v>
      </c>
      <c r="O14" s="16">
        <v>300</v>
      </c>
      <c r="P14" s="16">
        <v>700</v>
      </c>
      <c r="Q14" s="16">
        <v>16500000</v>
      </c>
      <c r="R14" s="16" t="s">
        <v>357</v>
      </c>
      <c r="S14" s="16" t="s">
        <v>357</v>
      </c>
      <c r="T14" s="16" t="s">
        <v>357</v>
      </c>
      <c r="U14" s="16" t="s">
        <v>357</v>
      </c>
      <c r="V14" s="18" t="str">
        <f t="shared" si="0"/>
        <v>-</v>
      </c>
      <c r="W14" s="19"/>
      <c r="X14" s="17" t="s">
        <v>100</v>
      </c>
      <c r="Y14" s="19" t="s">
        <v>154</v>
      </c>
      <c r="Z14" s="17"/>
      <c r="AA14" s="17"/>
      <c r="AB14" s="17"/>
      <c r="AC14" s="20" t="e">
        <f t="shared" si="1"/>
        <v>#VALUE!</v>
      </c>
      <c r="AD14" s="21">
        <f t="shared" si="2"/>
        <v>19</v>
      </c>
      <c r="AE14" s="19"/>
      <c r="AF14" s="17"/>
      <c r="AG14" s="22">
        <v>40.799999999999997</v>
      </c>
      <c r="AH14" s="22">
        <v>46.8</v>
      </c>
      <c r="AI14" s="14" t="s">
        <v>102</v>
      </c>
      <c r="AJ14" s="13" t="str">
        <f t="shared" si="3"/>
        <v>비강남권</v>
      </c>
      <c r="AK14" s="13" t="str">
        <f t="shared" si="4"/>
        <v>영등포</v>
      </c>
      <c r="AL14" s="23"/>
      <c r="AM14" s="24" t="e">
        <f t="shared" si="10"/>
        <v>#VALUE!</v>
      </c>
      <c r="AN14" s="24">
        <f t="shared" si="5"/>
        <v>1</v>
      </c>
      <c r="AO14" s="24">
        <f t="shared" si="6"/>
        <v>2</v>
      </c>
      <c r="AP14" s="24">
        <f t="shared" si="7"/>
        <v>1</v>
      </c>
      <c r="AQ14" s="23">
        <v>3</v>
      </c>
      <c r="AR14" s="23">
        <v>3</v>
      </c>
      <c r="AS14" s="24" t="e">
        <f>IF(B14="","",ROUND(AN14*Assumptions!$B$3+AO14*Assumptions!$B$4+AM14*Assumptions!$B$5+AP14*Assumptions!$B$6+AQ14*Assumptions!$B$7+AR14*Assumptions!$B$8,2))</f>
        <v>#VALUE!</v>
      </c>
      <c r="AT14" s="25" t="e">
        <f t="shared" si="8"/>
        <v>#VALUE!</v>
      </c>
      <c r="AU14" s="25" t="str">
        <f t="shared" si="9"/>
        <v>~2.5억</v>
      </c>
      <c r="AV14" s="23"/>
    </row>
    <row r="15" spans="1:48">
      <c r="A15" s="14">
        <v>26</v>
      </c>
      <c r="B15" s="14" t="s">
        <v>155</v>
      </c>
      <c r="C15" s="14" t="s">
        <v>152</v>
      </c>
      <c r="D15" s="14" t="s">
        <v>156</v>
      </c>
      <c r="E15" s="14" t="s">
        <v>86</v>
      </c>
      <c r="F15" s="14" t="s">
        <v>87</v>
      </c>
      <c r="G15" s="15" t="s">
        <v>166</v>
      </c>
      <c r="H15" s="14" t="s">
        <v>364</v>
      </c>
      <c r="I15" s="14">
        <v>120</v>
      </c>
      <c r="J15" s="14">
        <v>3</v>
      </c>
      <c r="K15" s="14" t="s">
        <v>90</v>
      </c>
      <c r="L15" s="16">
        <v>86000</v>
      </c>
      <c r="M15" s="16">
        <v>86000</v>
      </c>
      <c r="N15" s="17">
        <v>86000</v>
      </c>
      <c r="O15" s="16">
        <v>250</v>
      </c>
      <c r="P15" s="16">
        <v>800</v>
      </c>
      <c r="Q15" s="16">
        <v>11000000</v>
      </c>
      <c r="R15" s="16" t="s">
        <v>357</v>
      </c>
      <c r="S15" s="16" t="s">
        <v>357</v>
      </c>
      <c r="T15" s="16" t="s">
        <v>357</v>
      </c>
      <c r="U15" s="16" t="s">
        <v>357</v>
      </c>
      <c r="V15" s="18" t="str">
        <f t="shared" si="0"/>
        <v>-</v>
      </c>
      <c r="W15" s="19" t="s">
        <v>157</v>
      </c>
      <c r="X15" s="17" t="s">
        <v>93</v>
      </c>
      <c r="Y15" s="19" t="s">
        <v>158</v>
      </c>
      <c r="Z15" s="17" t="s">
        <v>95</v>
      </c>
      <c r="AA15" s="17"/>
      <c r="AB15" s="17"/>
      <c r="AC15" s="20" t="e">
        <f t="shared" si="1"/>
        <v>#VALUE!</v>
      </c>
      <c r="AD15" s="21">
        <f t="shared" si="2"/>
        <v>23</v>
      </c>
      <c r="AE15" s="19"/>
      <c r="AF15" s="17" t="s">
        <v>157</v>
      </c>
      <c r="AG15" s="22">
        <v>41.6</v>
      </c>
      <c r="AH15" s="22">
        <v>46.8</v>
      </c>
      <c r="AI15" s="14" t="s">
        <v>114</v>
      </c>
      <c r="AJ15" s="13" t="str">
        <f t="shared" si="3"/>
        <v>비강남권</v>
      </c>
      <c r="AK15" s="13" t="str">
        <f t="shared" si="4"/>
        <v>영등포</v>
      </c>
      <c r="AL15" s="23"/>
      <c r="AM15" s="24" t="e">
        <f t="shared" si="10"/>
        <v>#VALUE!</v>
      </c>
      <c r="AN15" s="24">
        <f t="shared" si="5"/>
        <v>3</v>
      </c>
      <c r="AO15" s="24">
        <f t="shared" si="6"/>
        <v>3</v>
      </c>
      <c r="AP15" s="24">
        <f t="shared" si="7"/>
        <v>5</v>
      </c>
      <c r="AQ15" s="23">
        <v>3</v>
      </c>
      <c r="AR15" s="23">
        <v>3</v>
      </c>
      <c r="AS15" s="24" t="e">
        <f>IF(B15="","",ROUND(AN15*Assumptions!$B$3+AO15*Assumptions!$B$4+AM15*Assumptions!$B$5+AP15*Assumptions!$B$6+AQ15*Assumptions!$B$7+AR15*Assumptions!$B$8,2))</f>
        <v>#VALUE!</v>
      </c>
      <c r="AT15" s="25" t="e">
        <f t="shared" si="8"/>
        <v>#VALUE!</v>
      </c>
      <c r="AU15" s="25" t="str">
        <f t="shared" si="9"/>
        <v>~2.5억</v>
      </c>
      <c r="AV15" s="23"/>
    </row>
    <row r="16" spans="1:48">
      <c r="A16" s="14">
        <v>27</v>
      </c>
      <c r="B16" s="14" t="s">
        <v>159</v>
      </c>
      <c r="C16" s="14" t="s">
        <v>152</v>
      </c>
      <c r="D16" s="14" t="s">
        <v>160</v>
      </c>
      <c r="E16" s="14" t="s">
        <v>86</v>
      </c>
      <c r="F16" s="14" t="s">
        <v>87</v>
      </c>
      <c r="G16" s="15" t="s">
        <v>197</v>
      </c>
      <c r="H16" s="14" t="s">
        <v>89</v>
      </c>
      <c r="I16" s="14">
        <v>90</v>
      </c>
      <c r="J16" s="14">
        <v>2</v>
      </c>
      <c r="K16" s="14" t="s">
        <v>90</v>
      </c>
      <c r="L16" s="16">
        <v>90000</v>
      </c>
      <c r="M16" s="16">
        <v>90000</v>
      </c>
      <c r="N16" s="17">
        <v>90000</v>
      </c>
      <c r="O16" s="16">
        <v>250</v>
      </c>
      <c r="P16" s="16">
        <v>1200</v>
      </c>
      <c r="Q16" s="16">
        <v>9500000</v>
      </c>
      <c r="R16" s="16" t="s">
        <v>357</v>
      </c>
      <c r="S16" s="16" t="s">
        <v>357</v>
      </c>
      <c r="T16" s="16" t="s">
        <v>357</v>
      </c>
      <c r="U16" s="16" t="s">
        <v>357</v>
      </c>
      <c r="V16" s="18" t="str">
        <f t="shared" si="0"/>
        <v>-</v>
      </c>
      <c r="W16" s="19" t="s">
        <v>161</v>
      </c>
      <c r="X16" s="17" t="s">
        <v>93</v>
      </c>
      <c r="Y16" s="19" t="s">
        <v>162</v>
      </c>
      <c r="Z16" s="17" t="s">
        <v>95</v>
      </c>
      <c r="AA16" s="17"/>
      <c r="AB16" s="17"/>
      <c r="AC16" s="20" t="e">
        <f t="shared" si="1"/>
        <v>#VALUE!</v>
      </c>
      <c r="AD16" s="21">
        <f t="shared" si="2"/>
        <v>23</v>
      </c>
      <c r="AE16" s="19"/>
      <c r="AF16" s="17" t="s">
        <v>161</v>
      </c>
      <c r="AG16" s="22">
        <v>42.4</v>
      </c>
      <c r="AH16" s="22">
        <v>46.8</v>
      </c>
      <c r="AI16" s="14" t="s">
        <v>163</v>
      </c>
      <c r="AJ16" s="13" t="str">
        <f t="shared" si="3"/>
        <v>비강남권</v>
      </c>
      <c r="AK16" s="13" t="str">
        <f t="shared" si="4"/>
        <v>영등포</v>
      </c>
      <c r="AL16" s="23"/>
      <c r="AM16" s="24" t="e">
        <f t="shared" si="10"/>
        <v>#VALUE!</v>
      </c>
      <c r="AN16" s="24">
        <f t="shared" si="5"/>
        <v>3</v>
      </c>
      <c r="AO16" s="24">
        <f t="shared" si="6"/>
        <v>3</v>
      </c>
      <c r="AP16" s="24">
        <f t="shared" si="7"/>
        <v>5</v>
      </c>
      <c r="AQ16" s="23">
        <v>3</v>
      </c>
      <c r="AR16" s="23">
        <v>3</v>
      </c>
      <c r="AS16" s="24" t="e">
        <f>IF(B16="","",ROUND(AN16*Assumptions!$B$3+AO16*Assumptions!$B$4+AM16*Assumptions!$B$5+AP16*Assumptions!$B$6+AQ16*Assumptions!$B$7+AR16*Assumptions!$B$8,2))</f>
        <v>#VALUE!</v>
      </c>
      <c r="AT16" s="25" t="e">
        <f t="shared" si="8"/>
        <v>#VALUE!</v>
      </c>
      <c r="AU16" s="25" t="str">
        <f t="shared" si="9"/>
        <v>~2.5억</v>
      </c>
      <c r="AV16" s="23"/>
    </row>
    <row r="17" spans="1:48">
      <c r="A17" s="14">
        <v>28</v>
      </c>
      <c r="B17" s="14" t="s">
        <v>164</v>
      </c>
      <c r="C17" s="14" t="s">
        <v>152</v>
      </c>
      <c r="D17" s="14" t="s">
        <v>165</v>
      </c>
      <c r="E17" s="14" t="s">
        <v>86</v>
      </c>
      <c r="F17" s="14" t="s">
        <v>87</v>
      </c>
      <c r="G17" s="15" t="s">
        <v>166</v>
      </c>
      <c r="H17" s="14" t="s">
        <v>364</v>
      </c>
      <c r="I17" s="14">
        <v>80</v>
      </c>
      <c r="J17" s="14">
        <v>2</v>
      </c>
      <c r="K17" s="14" t="s">
        <v>365</v>
      </c>
      <c r="L17" s="16">
        <v>110000</v>
      </c>
      <c r="M17" s="16">
        <v>110000</v>
      </c>
      <c r="N17" s="17">
        <v>110000</v>
      </c>
      <c r="O17" s="16">
        <v>300</v>
      </c>
      <c r="P17" s="16">
        <v>550</v>
      </c>
      <c r="Q17" s="16">
        <v>11000000</v>
      </c>
      <c r="R17" s="16" t="s">
        <v>357</v>
      </c>
      <c r="S17" s="16" t="s">
        <v>357</v>
      </c>
      <c r="T17" s="16" t="s">
        <v>357</v>
      </c>
      <c r="U17" s="16" t="s">
        <v>357</v>
      </c>
      <c r="V17" s="18" t="str">
        <f t="shared" si="0"/>
        <v>-</v>
      </c>
      <c r="W17" s="19" t="s">
        <v>167</v>
      </c>
      <c r="X17" s="17" t="s">
        <v>93</v>
      </c>
      <c r="Y17" s="19" t="s">
        <v>168</v>
      </c>
      <c r="Z17" s="17" t="s">
        <v>95</v>
      </c>
      <c r="AA17" s="17"/>
      <c r="AB17" s="17"/>
      <c r="AC17" s="20" t="e">
        <f t="shared" si="1"/>
        <v>#VALUE!</v>
      </c>
      <c r="AD17" s="21">
        <f t="shared" si="2"/>
        <v>23</v>
      </c>
      <c r="AE17" s="19"/>
      <c r="AF17" s="17" t="s">
        <v>167</v>
      </c>
      <c r="AG17" s="22">
        <v>43.2</v>
      </c>
      <c r="AH17" s="22">
        <v>46.8</v>
      </c>
      <c r="AI17" s="14" t="s">
        <v>169</v>
      </c>
      <c r="AJ17" s="13" t="str">
        <f t="shared" si="3"/>
        <v>비강남권</v>
      </c>
      <c r="AK17" s="13" t="str">
        <f t="shared" si="4"/>
        <v>영등포</v>
      </c>
      <c r="AL17" s="23" t="s">
        <v>170</v>
      </c>
      <c r="AM17" s="24" t="e">
        <f t="shared" si="10"/>
        <v>#VALUE!</v>
      </c>
      <c r="AN17" s="24">
        <f t="shared" si="5"/>
        <v>2</v>
      </c>
      <c r="AO17" s="24">
        <f t="shared" si="6"/>
        <v>2</v>
      </c>
      <c r="AP17" s="24">
        <f t="shared" si="7"/>
        <v>5</v>
      </c>
      <c r="AQ17" s="23">
        <v>3</v>
      </c>
      <c r="AR17" s="23">
        <v>4</v>
      </c>
      <c r="AS17" s="24" t="e">
        <f>IF(B17="","",ROUND(AN17*Assumptions!$B$3+AO17*Assumptions!$B$4+AM17*Assumptions!$B$5+AP17*Assumptions!$B$6+AQ17*Assumptions!$B$7+AR17*Assumptions!$B$8,2))</f>
        <v>#VALUE!</v>
      </c>
      <c r="AT17" s="25" t="e">
        <f t="shared" si="8"/>
        <v>#VALUE!</v>
      </c>
      <c r="AU17" s="25" t="str">
        <f t="shared" si="9"/>
        <v>~2.5억</v>
      </c>
      <c r="AV17" s="23"/>
    </row>
    <row r="18" spans="1:48">
      <c r="A18" s="14">
        <v>29</v>
      </c>
      <c r="B18" s="14" t="s">
        <v>372</v>
      </c>
      <c r="C18" s="14" t="s">
        <v>171</v>
      </c>
      <c r="D18" s="14" t="s">
        <v>172</v>
      </c>
      <c r="E18" s="14" t="s">
        <v>86</v>
      </c>
      <c r="F18" s="14" t="s">
        <v>87</v>
      </c>
      <c r="G18" s="15" t="s">
        <v>166</v>
      </c>
      <c r="H18" s="14" t="s">
        <v>89</v>
      </c>
      <c r="I18" s="14">
        <v>80</v>
      </c>
      <c r="J18" s="14">
        <v>3</v>
      </c>
      <c r="K18" s="14" t="s">
        <v>90</v>
      </c>
      <c r="L18" s="16">
        <v>60000</v>
      </c>
      <c r="M18" s="16">
        <v>70000</v>
      </c>
      <c r="N18" s="17" t="s">
        <v>173</v>
      </c>
      <c r="O18" s="16">
        <v>300</v>
      </c>
      <c r="P18" s="16">
        <v>2200</v>
      </c>
      <c r="Q18" s="16">
        <v>8000000</v>
      </c>
      <c r="R18" s="16"/>
      <c r="S18" s="16">
        <v>300000</v>
      </c>
      <c r="T18" s="16" t="s">
        <v>357</v>
      </c>
      <c r="U18" s="16"/>
      <c r="V18" s="18" t="str">
        <f t="shared" si="0"/>
        <v>-</v>
      </c>
      <c r="W18" s="19" t="s">
        <v>174</v>
      </c>
      <c r="X18" s="17" t="s">
        <v>93</v>
      </c>
      <c r="Y18" s="19" t="s">
        <v>175</v>
      </c>
      <c r="Z18" s="17" t="s">
        <v>95</v>
      </c>
      <c r="AA18" s="17"/>
      <c r="AB18" s="17"/>
      <c r="AC18" s="20" t="e">
        <f t="shared" si="1"/>
        <v>#VALUE!</v>
      </c>
      <c r="AD18" s="21">
        <f t="shared" si="2"/>
        <v>19</v>
      </c>
      <c r="AE18" s="19"/>
      <c r="AF18" s="17" t="s">
        <v>174</v>
      </c>
      <c r="AG18" s="22">
        <v>34.799999999999997</v>
      </c>
      <c r="AH18" s="22">
        <v>43.8</v>
      </c>
      <c r="AI18" s="14" t="s">
        <v>163</v>
      </c>
      <c r="AJ18" s="13" t="str">
        <f t="shared" si="3"/>
        <v>비강남권</v>
      </c>
      <c r="AK18" s="13" t="str">
        <f t="shared" si="4"/>
        <v>기타</v>
      </c>
      <c r="AL18" s="23" t="s">
        <v>176</v>
      </c>
      <c r="AM18" s="24" t="e">
        <f t="shared" si="10"/>
        <v>#VALUE!</v>
      </c>
      <c r="AN18" s="24">
        <f t="shared" si="5"/>
        <v>5</v>
      </c>
      <c r="AO18" s="24">
        <f t="shared" si="6"/>
        <v>2</v>
      </c>
      <c r="AP18" s="24">
        <f t="shared" si="7"/>
        <v>4</v>
      </c>
      <c r="AQ18" s="23">
        <v>3</v>
      </c>
      <c r="AR18" s="23">
        <v>4</v>
      </c>
      <c r="AS18" s="24" t="e">
        <f>IF(B18="","",ROUND(AN18*Assumptions!$B$3+AO18*Assumptions!$B$4+AM18*Assumptions!$B$5+AP18*Assumptions!$B$6+AQ18*Assumptions!$B$7+AR18*Assumptions!$B$8,2))</f>
        <v>#VALUE!</v>
      </c>
      <c r="AT18" s="25" t="e">
        <f t="shared" si="8"/>
        <v>#VALUE!</v>
      </c>
      <c r="AU18" s="25" t="str">
        <f t="shared" si="9"/>
        <v>~2.5억</v>
      </c>
      <c r="AV18" s="23"/>
    </row>
    <row r="19" spans="1:48">
      <c r="A19" s="14">
        <v>30</v>
      </c>
      <c r="B19" s="14" t="s">
        <v>177</v>
      </c>
      <c r="C19" s="14" t="s">
        <v>171</v>
      </c>
      <c r="D19" s="14" t="s">
        <v>178</v>
      </c>
      <c r="E19" s="14" t="s">
        <v>86</v>
      </c>
      <c r="F19" s="14" t="s">
        <v>87</v>
      </c>
      <c r="G19" s="15" t="s">
        <v>197</v>
      </c>
      <c r="H19" s="14" t="s">
        <v>364</v>
      </c>
      <c r="I19" s="14">
        <v>120</v>
      </c>
      <c r="J19" s="14">
        <v>2</v>
      </c>
      <c r="K19" s="14" t="s">
        <v>359</v>
      </c>
      <c r="L19" s="16">
        <v>110000</v>
      </c>
      <c r="M19" s="16">
        <v>120000</v>
      </c>
      <c r="N19" s="17" t="s">
        <v>358</v>
      </c>
      <c r="O19" s="16">
        <v>200</v>
      </c>
      <c r="P19" s="16">
        <v>350</v>
      </c>
      <c r="Q19" s="16">
        <v>26000000</v>
      </c>
      <c r="R19" s="16"/>
      <c r="S19" s="16" t="s">
        <v>357</v>
      </c>
      <c r="T19" s="16" t="s">
        <v>357</v>
      </c>
      <c r="U19" s="16"/>
      <c r="V19" s="18" t="str">
        <f t="shared" si="0"/>
        <v>-</v>
      </c>
      <c r="W19" s="19" t="s">
        <v>179</v>
      </c>
      <c r="X19" s="17" t="s">
        <v>93</v>
      </c>
      <c r="Y19" s="19" t="s">
        <v>180</v>
      </c>
      <c r="Z19" s="17" t="s">
        <v>95</v>
      </c>
      <c r="AA19" s="17"/>
      <c r="AB19" s="17"/>
      <c r="AC19" s="20" t="e">
        <f t="shared" si="1"/>
        <v>#VALUE!</v>
      </c>
      <c r="AD19" s="21">
        <f t="shared" si="2"/>
        <v>19</v>
      </c>
      <c r="AE19" s="19"/>
      <c r="AF19" s="17" t="s">
        <v>179</v>
      </c>
      <c r="AG19" s="22">
        <v>35.6</v>
      </c>
      <c r="AH19" s="22">
        <v>43.8</v>
      </c>
      <c r="AI19" s="14" t="s">
        <v>114</v>
      </c>
      <c r="AJ19" s="13" t="str">
        <f t="shared" si="3"/>
        <v>비강남권</v>
      </c>
      <c r="AK19" s="13" t="str">
        <f t="shared" si="4"/>
        <v>기타</v>
      </c>
      <c r="AL19" s="23"/>
      <c r="AM19" s="24" t="e">
        <f t="shared" si="10"/>
        <v>#VALUE!</v>
      </c>
      <c r="AN19" s="24">
        <f t="shared" si="5"/>
        <v>2</v>
      </c>
      <c r="AO19" s="24">
        <f t="shared" si="6"/>
        <v>4</v>
      </c>
      <c r="AP19" s="24">
        <f t="shared" si="7"/>
        <v>4</v>
      </c>
      <c r="AQ19" s="23">
        <v>3</v>
      </c>
      <c r="AR19" s="23">
        <v>3</v>
      </c>
      <c r="AS19" s="24" t="e">
        <f>IF(B19="","",ROUND(AN19*Assumptions!$B$3+AO19*Assumptions!$B$4+AM19*Assumptions!$B$5+AP19*Assumptions!$B$6+AQ19*Assumptions!$B$7+AR19*Assumptions!$B$8,2))</f>
        <v>#VALUE!</v>
      </c>
      <c r="AT19" s="25" t="e">
        <f t="shared" si="8"/>
        <v>#VALUE!</v>
      </c>
      <c r="AU19" s="25" t="str">
        <f t="shared" si="9"/>
        <v>~2.5억</v>
      </c>
      <c r="AV19" s="23"/>
    </row>
    <row r="20" spans="1:48">
      <c r="A20" s="14">
        <v>31</v>
      </c>
      <c r="B20" s="14" t="s">
        <v>181</v>
      </c>
      <c r="C20" s="14" t="s">
        <v>182</v>
      </c>
      <c r="D20" s="14" t="s">
        <v>183</v>
      </c>
      <c r="E20" s="14" t="s">
        <v>86</v>
      </c>
      <c r="F20" s="14" t="s">
        <v>87</v>
      </c>
      <c r="G20" s="15" t="s">
        <v>197</v>
      </c>
      <c r="H20" s="14" t="s">
        <v>364</v>
      </c>
      <c r="I20" s="14">
        <v>80</v>
      </c>
      <c r="J20" s="14">
        <v>4</v>
      </c>
      <c r="K20" s="14" t="s">
        <v>90</v>
      </c>
      <c r="L20" s="16">
        <v>82000</v>
      </c>
      <c r="M20" s="16">
        <v>90000</v>
      </c>
      <c r="N20" s="17" t="s">
        <v>361</v>
      </c>
      <c r="O20" s="16">
        <v>200</v>
      </c>
      <c r="P20" s="16">
        <v>600</v>
      </c>
      <c r="Q20" s="16">
        <v>13000000</v>
      </c>
      <c r="R20" s="16">
        <v>9000000</v>
      </c>
      <c r="S20" s="16">
        <v>3000000</v>
      </c>
      <c r="T20" s="16" t="s">
        <v>357</v>
      </c>
      <c r="U20" s="16"/>
      <c r="V20" s="18" t="str">
        <f t="shared" si="0"/>
        <v>-</v>
      </c>
      <c r="W20" s="19"/>
      <c r="X20" s="17" t="s">
        <v>100</v>
      </c>
      <c r="Y20" s="19" t="s">
        <v>184</v>
      </c>
      <c r="Z20" s="17"/>
      <c r="AA20" s="17"/>
      <c r="AB20" s="17"/>
      <c r="AC20" s="20" t="e">
        <f t="shared" si="1"/>
        <v>#VALUE!</v>
      </c>
      <c r="AD20" s="21">
        <f t="shared" si="2"/>
        <v>17</v>
      </c>
      <c r="AE20" s="19"/>
      <c r="AF20" s="17"/>
      <c r="AG20" s="22">
        <v>29.8</v>
      </c>
      <c r="AH20" s="22">
        <v>50.8</v>
      </c>
      <c r="AI20" s="14" t="s">
        <v>185</v>
      </c>
      <c r="AJ20" s="13" t="str">
        <f t="shared" si="3"/>
        <v>비강남권</v>
      </c>
      <c r="AK20" s="13" t="str">
        <f t="shared" si="4"/>
        <v>기타</v>
      </c>
      <c r="AL20" s="23"/>
      <c r="AM20" s="24" t="e">
        <f t="shared" si="10"/>
        <v>#VALUE!</v>
      </c>
      <c r="AN20" s="24">
        <f t="shared" si="5"/>
        <v>3</v>
      </c>
      <c r="AO20" s="24">
        <f t="shared" si="6"/>
        <v>4</v>
      </c>
      <c r="AP20" s="24">
        <f t="shared" si="7"/>
        <v>1</v>
      </c>
      <c r="AQ20" s="23">
        <v>3</v>
      </c>
      <c r="AR20" s="23">
        <v>3</v>
      </c>
      <c r="AS20" s="24" t="e">
        <f>IF(B20="","",ROUND(AN20*Assumptions!$B$3+AO20*Assumptions!$B$4+AM20*Assumptions!$B$5+AP20*Assumptions!$B$6+AQ20*Assumptions!$B$7+AR20*Assumptions!$B$8,2))</f>
        <v>#VALUE!</v>
      </c>
      <c r="AT20" s="25" t="e">
        <f t="shared" si="8"/>
        <v>#VALUE!</v>
      </c>
      <c r="AU20" s="25" t="str">
        <f t="shared" si="9"/>
        <v>~2.5억</v>
      </c>
      <c r="AV20" s="23"/>
    </row>
    <row r="21" spans="1:48">
      <c r="A21" s="14">
        <v>32</v>
      </c>
      <c r="B21" s="14" t="s">
        <v>186</v>
      </c>
      <c r="C21" s="14" t="s">
        <v>187</v>
      </c>
      <c r="D21" s="14" t="s">
        <v>188</v>
      </c>
      <c r="E21" s="14" t="s">
        <v>86</v>
      </c>
      <c r="F21" s="14" t="s">
        <v>87</v>
      </c>
      <c r="G21" s="15" t="s">
        <v>197</v>
      </c>
      <c r="H21" s="14" t="s">
        <v>189</v>
      </c>
      <c r="I21" s="14">
        <v>180</v>
      </c>
      <c r="J21" s="14">
        <v>3</v>
      </c>
      <c r="K21" s="14" t="s">
        <v>190</v>
      </c>
      <c r="L21" s="16">
        <v>130000</v>
      </c>
      <c r="M21" s="16">
        <v>150000</v>
      </c>
      <c r="N21" s="17" t="s">
        <v>191</v>
      </c>
      <c r="O21" s="16">
        <v>250</v>
      </c>
      <c r="P21" s="16">
        <v>800</v>
      </c>
      <c r="Q21" s="16">
        <v>21000000</v>
      </c>
      <c r="R21" s="16">
        <v>20000000</v>
      </c>
      <c r="S21" s="16" t="s">
        <v>357</v>
      </c>
      <c r="T21" s="16" t="s">
        <v>357</v>
      </c>
      <c r="U21" s="16"/>
      <c r="V21" s="18" t="str">
        <f t="shared" si="0"/>
        <v>-</v>
      </c>
      <c r="W21" s="19" t="s">
        <v>192</v>
      </c>
      <c r="X21" s="17" t="s">
        <v>93</v>
      </c>
      <c r="Y21" s="19" t="s">
        <v>193</v>
      </c>
      <c r="Z21" s="17" t="s">
        <v>95</v>
      </c>
      <c r="AA21" s="17"/>
      <c r="AB21" s="17"/>
      <c r="AC21" s="20" t="e">
        <f t="shared" si="1"/>
        <v>#VALUE!</v>
      </c>
      <c r="AD21" s="21">
        <f t="shared" si="2"/>
        <v>21</v>
      </c>
      <c r="AE21" s="19"/>
      <c r="AF21" s="17" t="s">
        <v>192</v>
      </c>
      <c r="AG21" s="22">
        <v>54.8</v>
      </c>
      <c r="AH21" s="22">
        <v>42.8</v>
      </c>
      <c r="AI21" s="14" t="s">
        <v>194</v>
      </c>
      <c r="AJ21" s="13" t="str">
        <f t="shared" si="3"/>
        <v>강남권</v>
      </c>
      <c r="AK21" s="13" t="str">
        <f t="shared" si="4"/>
        <v>서초</v>
      </c>
      <c r="AL21" s="23"/>
      <c r="AM21" s="24" t="e">
        <f t="shared" si="10"/>
        <v>#VALUE!</v>
      </c>
      <c r="AN21" s="24">
        <f t="shared" si="5"/>
        <v>1</v>
      </c>
      <c r="AO21" s="24">
        <f t="shared" si="6"/>
        <v>3</v>
      </c>
      <c r="AP21" s="24">
        <f t="shared" si="7"/>
        <v>4</v>
      </c>
      <c r="AQ21" s="23">
        <v>3</v>
      </c>
      <c r="AR21" s="23">
        <v>3</v>
      </c>
      <c r="AS21" s="24" t="e">
        <f>IF(B21="","",ROUND(AN21*Assumptions!$B$3+AO21*Assumptions!$B$4+AM21*Assumptions!$B$5+AP21*Assumptions!$B$6+AQ21*Assumptions!$B$7+AR21*Assumptions!$B$8,2))</f>
        <v>#VALUE!</v>
      </c>
      <c r="AT21" s="25" t="e">
        <f t="shared" si="8"/>
        <v>#VALUE!</v>
      </c>
      <c r="AU21" s="25" t="str">
        <f t="shared" si="9"/>
        <v>~2.5억</v>
      </c>
      <c r="AV21" s="23"/>
    </row>
    <row r="22" spans="1:48">
      <c r="A22" s="14">
        <v>33</v>
      </c>
      <c r="B22" s="14" t="s">
        <v>195</v>
      </c>
      <c r="C22" s="14" t="s">
        <v>187</v>
      </c>
      <c r="D22" s="14" t="s">
        <v>196</v>
      </c>
      <c r="E22" s="14" t="s">
        <v>86</v>
      </c>
      <c r="F22" s="14" t="s">
        <v>87</v>
      </c>
      <c r="G22" s="15" t="s">
        <v>197</v>
      </c>
      <c r="H22" s="14" t="s">
        <v>89</v>
      </c>
      <c r="I22" s="14">
        <v>90</v>
      </c>
      <c r="J22" s="14">
        <v>2</v>
      </c>
      <c r="K22" s="14" t="s">
        <v>90</v>
      </c>
      <c r="L22" s="16">
        <v>80000</v>
      </c>
      <c r="M22" s="16">
        <v>90000</v>
      </c>
      <c r="N22" s="17" t="s">
        <v>363</v>
      </c>
      <c r="O22" s="16">
        <v>250</v>
      </c>
      <c r="P22" s="16">
        <v>950</v>
      </c>
      <c r="Q22" s="16">
        <v>9500000</v>
      </c>
      <c r="R22" s="16" t="s">
        <v>357</v>
      </c>
      <c r="S22" s="16" t="s">
        <v>357</v>
      </c>
      <c r="T22" s="16"/>
      <c r="U22" s="16"/>
      <c r="V22" s="18">
        <f t="shared" ref="V22:V46" si="11">IF(AND(T22="",AB22&gt;0),ROUND(AB22*10%,-4),T22)</f>
        <v>0</v>
      </c>
      <c r="W22" s="19" t="s">
        <v>198</v>
      </c>
      <c r="X22" s="17" t="s">
        <v>93</v>
      </c>
      <c r="Y22" s="19" t="s">
        <v>199</v>
      </c>
      <c r="Z22" s="17" t="s">
        <v>95</v>
      </c>
      <c r="AA22" s="17"/>
      <c r="AB22" s="17"/>
      <c r="AC22" s="20" t="e">
        <f t="shared" ref="AC22:AC46" si="12">IF(AND(L22&gt;0,N22&gt;0),L22*N22+IF(P22="",0,P22)+IF(Q22="",0,Q22)+IF(S22="",0,S22),"")</f>
        <v>#VALUE!</v>
      </c>
      <c r="AD22" s="21">
        <f t="shared" ref="AD22:AD46" si="13">IF(COUNTA(B22:AB22)=0,"",COUNTA(B22:AB22)-COUNTBLANK(B22:AB22))</f>
        <v>19</v>
      </c>
      <c r="AE22" s="19"/>
      <c r="AF22" s="17" t="s">
        <v>198</v>
      </c>
      <c r="AG22" s="22">
        <v>55.6</v>
      </c>
      <c r="AH22" s="22">
        <v>42.8</v>
      </c>
      <c r="AI22" s="14" t="s">
        <v>114</v>
      </c>
      <c r="AJ22" s="13" t="str">
        <f t="shared" ref="AJ22:AJ46" si="14">IF(OR(C22="강남구",C22="서초구",C22="송파구"),"강남권","비강남권")</f>
        <v>강남권</v>
      </c>
      <c r="AK22" s="13" t="str">
        <f t="shared" ref="AK22:AK46" si="15">IF(C22="강남구","강남",IF(C22="서초구","서초",IF(C22="송파구","송파",IF(C22="영등포구","영등포",IF(C22="마포구","마포","기타")))))</f>
        <v>서초</v>
      </c>
      <c r="AL22" s="23" t="s">
        <v>200</v>
      </c>
      <c r="AM22" s="24" t="e">
        <f t="shared" ref="AM22:AM46" si="16">IF(B22="","",MIN(5,IF(ISNUMBER(SEARCH("역",AC22)),4,IF(AC22&lt;&gt;"",3,2))+IF(Z22&lt;&gt;"",1,0)))</f>
        <v>#VALUE!</v>
      </c>
      <c r="AN22" s="24">
        <f t="shared" ref="AN22:AN46" si="17">IF(M22="","",IF(M22&lt;=70000,5,IF(M22&lt;=85000,4,IF(M22&lt;=100000,3,IF(M22&lt;=120000,2,1)))))</f>
        <v>3</v>
      </c>
      <c r="AO22" s="24">
        <f t="shared" ref="AO22:AO46" si="18">IF(O22="","",IF(O22&lt;=150,5,IF(O22&lt;=200,4,IF(O22&lt;=250,3,IF(O22&lt;=300,2,1)))))</f>
        <v>3</v>
      </c>
      <c r="AP22" s="24">
        <f t="shared" ref="AP22:AP46" si="19">IF(B22="","",IF(AND(X22="확인",U22&gt;0),5,IF(X22="확인",4,IF(AE22&lt;&gt;"",2,1))))</f>
        <v>4</v>
      </c>
      <c r="AQ22" s="23">
        <v>4</v>
      </c>
      <c r="AR22" s="23">
        <v>5</v>
      </c>
      <c r="AS22" s="24" t="e">
        <f>IF(B22="","",ROUND(AN22*Assumptions!$B$3+AO22*Assumptions!$B$4+AM22*Assumptions!$B$5+AP22*Assumptions!$B$6+AQ22*Assumptions!$B$7+AR22*Assumptions!$B$8,2))</f>
        <v>#VALUE!</v>
      </c>
      <c r="AT22" s="25" t="e">
        <f t="shared" ref="AT22:AT46" si="20">IF(AS22="","",IF(AS22&gt;=4.2,"A",IF(AS22&gt;=3.4,"B","C")))</f>
        <v>#VALUE!</v>
      </c>
      <c r="AU22" s="25" t="str">
        <f t="shared" ref="AU22:AU46" si="21">IF(AD22="","",IF(AD22&lt;=25000000,"~2.5억",IF(AD22&lt;=35000000,"2.5~3.5억",IF(AD22&lt;=50000000,"3.5~5억","5억+"))))</f>
        <v>~2.5억</v>
      </c>
      <c r="AV22" s="23"/>
    </row>
    <row r="23" spans="1:48">
      <c r="A23" s="14">
        <v>34</v>
      </c>
      <c r="B23" s="14" t="s">
        <v>201</v>
      </c>
      <c r="C23" s="14" t="s">
        <v>187</v>
      </c>
      <c r="D23" s="14" t="s">
        <v>202</v>
      </c>
      <c r="E23" s="14" t="s">
        <v>86</v>
      </c>
      <c r="F23" s="14" t="s">
        <v>126</v>
      </c>
      <c r="G23" s="15" t="s">
        <v>88</v>
      </c>
      <c r="H23" s="14" t="s">
        <v>89</v>
      </c>
      <c r="I23" s="14">
        <v>90</v>
      </c>
      <c r="J23" s="14">
        <v>1</v>
      </c>
      <c r="K23" s="14" t="s">
        <v>90</v>
      </c>
      <c r="L23" s="16">
        <v>110000</v>
      </c>
      <c r="M23" s="16">
        <v>110000</v>
      </c>
      <c r="N23" s="17">
        <v>110000</v>
      </c>
      <c r="O23" s="16">
        <v>300</v>
      </c>
      <c r="P23" s="16">
        <v>550</v>
      </c>
      <c r="Q23" s="16">
        <v>11000000</v>
      </c>
      <c r="R23" s="16" t="s">
        <v>357</v>
      </c>
      <c r="S23" s="16" t="s">
        <v>357</v>
      </c>
      <c r="T23" s="16"/>
      <c r="U23" s="16"/>
      <c r="V23" s="18">
        <f t="shared" si="11"/>
        <v>0</v>
      </c>
      <c r="W23" s="19" t="s">
        <v>203</v>
      </c>
      <c r="X23" s="17" t="s">
        <v>93</v>
      </c>
      <c r="Y23" s="19" t="s">
        <v>204</v>
      </c>
      <c r="Z23" s="17" t="s">
        <v>95</v>
      </c>
      <c r="AA23" s="17"/>
      <c r="AB23" s="17"/>
      <c r="AC23" s="20" t="e">
        <f t="shared" si="12"/>
        <v>#VALUE!</v>
      </c>
      <c r="AD23" s="21">
        <f t="shared" si="13"/>
        <v>19</v>
      </c>
      <c r="AE23" s="19"/>
      <c r="AF23" s="17" t="s">
        <v>203</v>
      </c>
      <c r="AG23" s="22">
        <v>56.4</v>
      </c>
      <c r="AH23" s="22">
        <v>42.8</v>
      </c>
      <c r="AI23" s="14" t="s">
        <v>205</v>
      </c>
      <c r="AJ23" s="13" t="str">
        <f t="shared" si="14"/>
        <v>강남권</v>
      </c>
      <c r="AK23" s="13" t="str">
        <f t="shared" si="15"/>
        <v>서초</v>
      </c>
      <c r="AL23" s="23" t="s">
        <v>206</v>
      </c>
      <c r="AM23" s="24" t="e">
        <f t="shared" si="16"/>
        <v>#VALUE!</v>
      </c>
      <c r="AN23" s="24">
        <f t="shared" si="17"/>
        <v>2</v>
      </c>
      <c r="AO23" s="24">
        <f t="shared" si="18"/>
        <v>2</v>
      </c>
      <c r="AP23" s="24">
        <f t="shared" si="19"/>
        <v>4</v>
      </c>
      <c r="AQ23" s="23">
        <v>4</v>
      </c>
      <c r="AR23" s="23">
        <v>5</v>
      </c>
      <c r="AS23" s="24" t="e">
        <f>IF(B23="","",ROUND(AN23*Assumptions!$B$3+AO23*Assumptions!$B$4+AM23*Assumptions!$B$5+AP23*Assumptions!$B$6+AQ23*Assumptions!$B$7+AR23*Assumptions!$B$8,2))</f>
        <v>#VALUE!</v>
      </c>
      <c r="AT23" s="25" t="e">
        <f t="shared" si="20"/>
        <v>#VALUE!</v>
      </c>
      <c r="AU23" s="25" t="str">
        <f t="shared" si="21"/>
        <v>~2.5억</v>
      </c>
      <c r="AV23" s="23"/>
    </row>
    <row r="24" spans="1:48">
      <c r="A24" s="14">
        <v>36</v>
      </c>
      <c r="B24" s="14" t="s">
        <v>208</v>
      </c>
      <c r="C24" s="14" t="s">
        <v>209</v>
      </c>
      <c r="D24" s="14" t="s">
        <v>210</v>
      </c>
      <c r="E24" s="14" t="s">
        <v>86</v>
      </c>
      <c r="F24" s="14" t="s">
        <v>126</v>
      </c>
      <c r="G24" s="15" t="s">
        <v>88</v>
      </c>
      <c r="H24" s="14" t="s">
        <v>364</v>
      </c>
      <c r="I24" s="14">
        <v>90</v>
      </c>
      <c r="J24" s="14">
        <v>1</v>
      </c>
      <c r="K24" s="14" t="s">
        <v>365</v>
      </c>
      <c r="L24" s="16">
        <v>100000</v>
      </c>
      <c r="M24" s="16">
        <v>100000</v>
      </c>
      <c r="N24" s="17">
        <v>100000</v>
      </c>
      <c r="O24" s="16">
        <v>300</v>
      </c>
      <c r="P24" s="16">
        <v>550</v>
      </c>
      <c r="Q24" s="16">
        <v>13000000</v>
      </c>
      <c r="R24" s="16" t="s">
        <v>357</v>
      </c>
      <c r="S24" s="16" t="s">
        <v>357</v>
      </c>
      <c r="T24" s="16"/>
      <c r="U24" s="16"/>
      <c r="V24" s="18">
        <f t="shared" si="11"/>
        <v>0</v>
      </c>
      <c r="W24" s="19" t="s">
        <v>211</v>
      </c>
      <c r="X24" s="17" t="s">
        <v>93</v>
      </c>
      <c r="Y24" s="19" t="s">
        <v>212</v>
      </c>
      <c r="Z24" s="17" t="s">
        <v>95</v>
      </c>
      <c r="AA24" s="17"/>
      <c r="AB24" s="17"/>
      <c r="AC24" s="20" t="e">
        <f t="shared" si="12"/>
        <v>#VALUE!</v>
      </c>
      <c r="AD24" s="21">
        <f t="shared" si="13"/>
        <v>19</v>
      </c>
      <c r="AE24" s="19"/>
      <c r="AF24" s="17" t="s">
        <v>211</v>
      </c>
      <c r="AG24" s="22">
        <v>60.8</v>
      </c>
      <c r="AH24" s="22">
        <v>43.8</v>
      </c>
      <c r="AI24" s="14" t="s">
        <v>213</v>
      </c>
      <c r="AJ24" s="13" t="str">
        <f t="shared" si="14"/>
        <v>강남권</v>
      </c>
      <c r="AK24" s="13" t="str">
        <f t="shared" si="15"/>
        <v>강남</v>
      </c>
      <c r="AL24" s="23"/>
      <c r="AM24" s="24" t="e">
        <f t="shared" si="16"/>
        <v>#VALUE!</v>
      </c>
      <c r="AN24" s="24">
        <f t="shared" si="17"/>
        <v>3</v>
      </c>
      <c r="AO24" s="24">
        <f t="shared" si="18"/>
        <v>2</v>
      </c>
      <c r="AP24" s="24">
        <f t="shared" si="19"/>
        <v>4</v>
      </c>
      <c r="AQ24" s="23">
        <v>3</v>
      </c>
      <c r="AR24" s="23">
        <v>3</v>
      </c>
      <c r="AS24" s="24" t="e">
        <f>IF(B24="","",ROUND(AN24*Assumptions!$B$3+AO24*Assumptions!$B$4+AM24*Assumptions!$B$5+AP24*Assumptions!$B$6+AQ24*Assumptions!$B$7+AR24*Assumptions!$B$8,2))</f>
        <v>#VALUE!</v>
      </c>
      <c r="AT24" s="25" t="e">
        <f t="shared" si="20"/>
        <v>#VALUE!</v>
      </c>
      <c r="AU24" s="25" t="str">
        <f t="shared" si="21"/>
        <v>~2.5억</v>
      </c>
      <c r="AV24" s="23"/>
    </row>
    <row r="25" spans="1:48">
      <c r="A25" s="14">
        <v>37</v>
      </c>
      <c r="B25" s="14" t="s">
        <v>214</v>
      </c>
      <c r="C25" s="14" t="s">
        <v>209</v>
      </c>
      <c r="D25" s="14" t="s">
        <v>215</v>
      </c>
      <c r="E25" s="14" t="s">
        <v>86</v>
      </c>
      <c r="F25" s="14" t="s">
        <v>126</v>
      </c>
      <c r="G25" s="15" t="s">
        <v>88</v>
      </c>
      <c r="H25" s="14" t="s">
        <v>364</v>
      </c>
      <c r="I25" s="14">
        <v>120</v>
      </c>
      <c r="J25" s="14">
        <v>1</v>
      </c>
      <c r="K25" s="14" t="s">
        <v>366</v>
      </c>
      <c r="L25" s="16">
        <v>100000</v>
      </c>
      <c r="M25" s="16">
        <v>100000</v>
      </c>
      <c r="N25" s="17">
        <v>100000</v>
      </c>
      <c r="O25" s="16">
        <v>300</v>
      </c>
      <c r="P25" s="16">
        <v>550</v>
      </c>
      <c r="Q25" s="16">
        <v>13000000</v>
      </c>
      <c r="R25" s="16" t="s">
        <v>357</v>
      </c>
      <c r="S25" s="16" t="s">
        <v>357</v>
      </c>
      <c r="T25" s="16"/>
      <c r="U25" s="16"/>
      <c r="V25" s="18">
        <f t="shared" si="11"/>
        <v>0</v>
      </c>
      <c r="W25" s="19" t="s">
        <v>216</v>
      </c>
      <c r="X25" s="17" t="s">
        <v>93</v>
      </c>
      <c r="Y25" s="19" t="s">
        <v>217</v>
      </c>
      <c r="Z25" s="17" t="s">
        <v>95</v>
      </c>
      <c r="AA25" s="17"/>
      <c r="AB25" s="17"/>
      <c r="AC25" s="20" t="e">
        <f t="shared" si="12"/>
        <v>#VALUE!</v>
      </c>
      <c r="AD25" s="21">
        <f t="shared" si="13"/>
        <v>19</v>
      </c>
      <c r="AE25" s="19"/>
      <c r="AF25" s="17" t="s">
        <v>216</v>
      </c>
      <c r="AG25" s="22">
        <v>61.6</v>
      </c>
      <c r="AH25" s="22">
        <v>43.8</v>
      </c>
      <c r="AI25" s="14" t="s">
        <v>114</v>
      </c>
      <c r="AJ25" s="13" t="str">
        <f t="shared" si="14"/>
        <v>강남권</v>
      </c>
      <c r="AK25" s="13" t="str">
        <f t="shared" si="15"/>
        <v>강남</v>
      </c>
      <c r="AL25" s="23"/>
      <c r="AM25" s="24" t="e">
        <f t="shared" si="16"/>
        <v>#VALUE!</v>
      </c>
      <c r="AN25" s="24">
        <f t="shared" si="17"/>
        <v>3</v>
      </c>
      <c r="AO25" s="24">
        <f t="shared" si="18"/>
        <v>2</v>
      </c>
      <c r="AP25" s="24">
        <f t="shared" si="19"/>
        <v>4</v>
      </c>
      <c r="AQ25" s="23">
        <v>3</v>
      </c>
      <c r="AR25" s="23">
        <v>3</v>
      </c>
      <c r="AS25" s="24" t="e">
        <f>IF(B25="","",ROUND(AN25*Assumptions!$B$3+AO25*Assumptions!$B$4+AM25*Assumptions!$B$5+AP25*Assumptions!$B$6+AQ25*Assumptions!$B$7+AR25*Assumptions!$B$8,2))</f>
        <v>#VALUE!</v>
      </c>
      <c r="AT25" s="25" t="e">
        <f t="shared" si="20"/>
        <v>#VALUE!</v>
      </c>
      <c r="AU25" s="25" t="str">
        <f t="shared" si="21"/>
        <v>~2.5억</v>
      </c>
      <c r="AV25" s="23"/>
    </row>
    <row r="26" spans="1:48">
      <c r="A26" s="14">
        <v>38</v>
      </c>
      <c r="B26" s="14" t="s">
        <v>367</v>
      </c>
      <c r="C26" s="14" t="s">
        <v>209</v>
      </c>
      <c r="D26" s="14" t="s">
        <v>218</v>
      </c>
      <c r="E26" s="14" t="s">
        <v>86</v>
      </c>
      <c r="F26" s="14" t="s">
        <v>103</v>
      </c>
      <c r="G26" s="15" t="s">
        <v>88</v>
      </c>
      <c r="H26" s="14" t="s">
        <v>368</v>
      </c>
      <c r="I26" s="14">
        <v>180</v>
      </c>
      <c r="J26" s="14">
        <v>1</v>
      </c>
      <c r="K26" s="14" t="s">
        <v>366</v>
      </c>
      <c r="L26" s="16">
        <v>130000</v>
      </c>
      <c r="M26" s="16">
        <v>150000</v>
      </c>
      <c r="N26" s="17" t="s">
        <v>369</v>
      </c>
      <c r="O26" s="16">
        <v>270</v>
      </c>
      <c r="P26" s="16">
        <v>380</v>
      </c>
      <c r="Q26" s="16">
        <v>17000000</v>
      </c>
      <c r="R26" s="16" t="s">
        <v>357</v>
      </c>
      <c r="S26" s="16" t="s">
        <v>357</v>
      </c>
      <c r="T26" s="16">
        <v>13000000</v>
      </c>
      <c r="U26" s="16"/>
      <c r="V26" s="18">
        <f t="shared" si="11"/>
        <v>13000000</v>
      </c>
      <c r="W26" s="26" t="s">
        <v>356</v>
      </c>
      <c r="X26" s="17" t="s">
        <v>93</v>
      </c>
      <c r="Y26" s="19" t="s">
        <v>220</v>
      </c>
      <c r="Z26" s="17" t="s">
        <v>95</v>
      </c>
      <c r="AA26" s="17"/>
      <c r="AB26" s="17"/>
      <c r="AC26" s="20" t="e">
        <f t="shared" si="12"/>
        <v>#VALUE!</v>
      </c>
      <c r="AD26" s="21">
        <f t="shared" si="13"/>
        <v>21</v>
      </c>
      <c r="AE26" s="19"/>
      <c r="AF26" s="17" t="s">
        <v>219</v>
      </c>
      <c r="AG26" s="22">
        <v>62.4</v>
      </c>
      <c r="AH26" s="22">
        <v>43.8</v>
      </c>
      <c r="AI26" s="14" t="s">
        <v>114</v>
      </c>
      <c r="AJ26" s="13" t="str">
        <f t="shared" si="14"/>
        <v>강남권</v>
      </c>
      <c r="AK26" s="13" t="str">
        <f t="shared" si="15"/>
        <v>강남</v>
      </c>
      <c r="AL26" s="23" t="s">
        <v>221</v>
      </c>
      <c r="AM26" s="24" t="e">
        <f t="shared" si="16"/>
        <v>#VALUE!</v>
      </c>
      <c r="AN26" s="24">
        <f t="shared" si="17"/>
        <v>1</v>
      </c>
      <c r="AO26" s="24">
        <f t="shared" si="18"/>
        <v>2</v>
      </c>
      <c r="AP26" s="24">
        <f t="shared" si="19"/>
        <v>4</v>
      </c>
      <c r="AQ26" s="23">
        <v>5</v>
      </c>
      <c r="AR26" s="23">
        <v>4</v>
      </c>
      <c r="AS26" s="24" t="e">
        <f>IF(B26="","",ROUND(AN26*Assumptions!$B$3+AO26*Assumptions!$B$4+AM26*Assumptions!$B$5+AP26*Assumptions!$B$6+AQ26*Assumptions!$B$7+AR26*Assumptions!$B$8,2))</f>
        <v>#VALUE!</v>
      </c>
      <c r="AT26" s="25" t="e">
        <f t="shared" si="20"/>
        <v>#VALUE!</v>
      </c>
      <c r="AU26" s="25" t="str">
        <f t="shared" si="21"/>
        <v>~2.5억</v>
      </c>
      <c r="AV26" s="23"/>
    </row>
    <row r="27" spans="1:48">
      <c r="A27" s="14">
        <v>39</v>
      </c>
      <c r="B27" s="14" t="s">
        <v>222</v>
      </c>
      <c r="C27" s="14" t="s">
        <v>209</v>
      </c>
      <c r="D27" s="14" t="s">
        <v>223</v>
      </c>
      <c r="E27" s="14" t="s">
        <v>86</v>
      </c>
      <c r="F27" s="14" t="s">
        <v>103</v>
      </c>
      <c r="G27" s="15" t="s">
        <v>88</v>
      </c>
      <c r="H27" s="14" t="s">
        <v>364</v>
      </c>
      <c r="I27" s="14">
        <v>150</v>
      </c>
      <c r="J27" s="14">
        <v>1</v>
      </c>
      <c r="K27" s="14" t="s">
        <v>365</v>
      </c>
      <c r="L27" s="16">
        <v>99000</v>
      </c>
      <c r="M27" s="16">
        <v>99000</v>
      </c>
      <c r="N27" s="17">
        <v>99000</v>
      </c>
      <c r="O27" s="16">
        <v>300</v>
      </c>
      <c r="P27" s="16">
        <v>500</v>
      </c>
      <c r="Q27" s="16">
        <v>12000000</v>
      </c>
      <c r="R27" s="16"/>
      <c r="S27" s="16" t="s">
        <v>357</v>
      </c>
      <c r="T27" s="16">
        <v>8800000</v>
      </c>
      <c r="U27" s="16">
        <v>3000000</v>
      </c>
      <c r="V27" s="18">
        <f t="shared" si="11"/>
        <v>8800000</v>
      </c>
      <c r="W27" s="19" t="s">
        <v>224</v>
      </c>
      <c r="X27" s="17" t="s">
        <v>93</v>
      </c>
      <c r="Y27" s="19" t="s">
        <v>225</v>
      </c>
      <c r="Z27" s="17" t="s">
        <v>95</v>
      </c>
      <c r="AA27" s="17"/>
      <c r="AB27" s="17"/>
      <c r="AC27" s="20" t="e">
        <f t="shared" si="12"/>
        <v>#VALUE!</v>
      </c>
      <c r="AD27" s="21">
        <f t="shared" si="13"/>
        <v>21</v>
      </c>
      <c r="AE27" s="19"/>
      <c r="AF27" s="17" t="s">
        <v>226</v>
      </c>
      <c r="AG27" s="22">
        <v>63.2</v>
      </c>
      <c r="AH27" s="22">
        <v>43.8</v>
      </c>
      <c r="AI27" s="14" t="s">
        <v>227</v>
      </c>
      <c r="AJ27" s="13" t="str">
        <f t="shared" si="14"/>
        <v>강남권</v>
      </c>
      <c r="AK27" s="13" t="str">
        <f t="shared" si="15"/>
        <v>강남</v>
      </c>
      <c r="AL27" s="23" t="s">
        <v>228</v>
      </c>
      <c r="AM27" s="24" t="e">
        <f t="shared" si="16"/>
        <v>#VALUE!</v>
      </c>
      <c r="AN27" s="24">
        <f t="shared" si="17"/>
        <v>3</v>
      </c>
      <c r="AO27" s="24">
        <f t="shared" si="18"/>
        <v>2</v>
      </c>
      <c r="AP27" s="24">
        <f t="shared" si="19"/>
        <v>5</v>
      </c>
      <c r="AQ27" s="23">
        <v>5</v>
      </c>
      <c r="AR27" s="23">
        <v>4</v>
      </c>
      <c r="AS27" s="24" t="e">
        <f>IF(B27="","",ROUND(AN27*Assumptions!$B$3+AO27*Assumptions!$B$4+AM27*Assumptions!$B$5+AP27*Assumptions!$B$6+AQ27*Assumptions!$B$7+AR27*Assumptions!$B$8,2))</f>
        <v>#VALUE!</v>
      </c>
      <c r="AT27" s="25" t="e">
        <f t="shared" si="20"/>
        <v>#VALUE!</v>
      </c>
      <c r="AU27" s="25" t="str">
        <f t="shared" si="21"/>
        <v>~2.5억</v>
      </c>
      <c r="AV27" s="23"/>
    </row>
    <row r="28" spans="1:48">
      <c r="A28" s="14">
        <v>40</v>
      </c>
      <c r="B28" s="14" t="s">
        <v>373</v>
      </c>
      <c r="C28" s="14" t="s">
        <v>209</v>
      </c>
      <c r="D28" s="14" t="s">
        <v>229</v>
      </c>
      <c r="E28" s="14" t="s">
        <v>86</v>
      </c>
      <c r="F28" s="14" t="s">
        <v>126</v>
      </c>
      <c r="G28" s="15" t="s">
        <v>88</v>
      </c>
      <c r="H28" s="14" t="s">
        <v>364</v>
      </c>
      <c r="I28" s="14">
        <v>90</v>
      </c>
      <c r="J28" s="14">
        <v>2</v>
      </c>
      <c r="K28" s="14" t="s">
        <v>365</v>
      </c>
      <c r="L28" s="16">
        <v>120000</v>
      </c>
      <c r="M28" s="16">
        <v>120000</v>
      </c>
      <c r="N28" s="17">
        <v>120000</v>
      </c>
      <c r="O28" s="16">
        <v>300</v>
      </c>
      <c r="P28" s="16">
        <v>500</v>
      </c>
      <c r="Q28" s="16">
        <v>12000000</v>
      </c>
      <c r="R28" s="16" t="s">
        <v>357</v>
      </c>
      <c r="S28" s="16" t="s">
        <v>357</v>
      </c>
      <c r="T28" s="16" t="s">
        <v>357</v>
      </c>
      <c r="U28" s="16"/>
      <c r="V28" s="18" t="str">
        <f t="shared" si="11"/>
        <v>-</v>
      </c>
      <c r="W28" s="19" t="s">
        <v>230</v>
      </c>
      <c r="X28" s="17" t="s">
        <v>93</v>
      </c>
      <c r="Y28" s="19" t="s">
        <v>231</v>
      </c>
      <c r="Z28" s="17" t="s">
        <v>95</v>
      </c>
      <c r="AA28" s="17"/>
      <c r="AB28" s="17"/>
      <c r="AC28" s="20" t="e">
        <f t="shared" si="12"/>
        <v>#VALUE!</v>
      </c>
      <c r="AD28" s="21">
        <f t="shared" si="13"/>
        <v>21</v>
      </c>
      <c r="AE28" s="19"/>
      <c r="AF28" s="17" t="s">
        <v>230</v>
      </c>
      <c r="AG28" s="22">
        <v>60.8</v>
      </c>
      <c r="AH28" s="22">
        <v>44.6</v>
      </c>
      <c r="AI28" s="14" t="s">
        <v>114</v>
      </c>
      <c r="AJ28" s="13" t="str">
        <f t="shared" si="14"/>
        <v>강남권</v>
      </c>
      <c r="AK28" s="13" t="str">
        <f t="shared" si="15"/>
        <v>강남</v>
      </c>
      <c r="AL28" s="23" t="s">
        <v>232</v>
      </c>
      <c r="AM28" s="24" t="e">
        <f t="shared" si="16"/>
        <v>#VALUE!</v>
      </c>
      <c r="AN28" s="24">
        <f t="shared" si="17"/>
        <v>2</v>
      </c>
      <c r="AO28" s="24">
        <f t="shared" si="18"/>
        <v>2</v>
      </c>
      <c r="AP28" s="24">
        <f t="shared" si="19"/>
        <v>4</v>
      </c>
      <c r="AQ28" s="23">
        <v>5</v>
      </c>
      <c r="AR28" s="23">
        <v>5</v>
      </c>
      <c r="AS28" s="24" t="e">
        <f>IF(B28="","",ROUND(AN28*Assumptions!$B$3+AO28*Assumptions!$B$4+AM28*Assumptions!$B$5+AP28*Assumptions!$B$6+AQ28*Assumptions!$B$7+AR28*Assumptions!$B$8,2))</f>
        <v>#VALUE!</v>
      </c>
      <c r="AT28" s="25" t="e">
        <f t="shared" si="20"/>
        <v>#VALUE!</v>
      </c>
      <c r="AU28" s="25" t="str">
        <f t="shared" si="21"/>
        <v>~2.5억</v>
      </c>
      <c r="AV28" s="23"/>
    </row>
    <row r="29" spans="1:48">
      <c r="A29" s="14">
        <v>41</v>
      </c>
      <c r="B29" s="14" t="s">
        <v>233</v>
      </c>
      <c r="C29" s="14" t="s">
        <v>209</v>
      </c>
      <c r="D29" s="14" t="s">
        <v>234</v>
      </c>
      <c r="E29" s="14" t="s">
        <v>86</v>
      </c>
      <c r="F29" s="14" t="s">
        <v>87</v>
      </c>
      <c r="G29" s="15" t="s">
        <v>197</v>
      </c>
      <c r="H29" s="14" t="s">
        <v>89</v>
      </c>
      <c r="I29" s="14">
        <v>80</v>
      </c>
      <c r="J29" s="14">
        <v>2</v>
      </c>
      <c r="K29" s="14" t="s">
        <v>90</v>
      </c>
      <c r="L29" s="16">
        <v>98000</v>
      </c>
      <c r="M29" s="16">
        <v>98000</v>
      </c>
      <c r="N29" s="17">
        <v>98000</v>
      </c>
      <c r="O29" s="16">
        <v>250</v>
      </c>
      <c r="P29" s="16">
        <v>500</v>
      </c>
      <c r="Q29" s="16">
        <v>9800000</v>
      </c>
      <c r="R29" s="16" t="s">
        <v>357</v>
      </c>
      <c r="S29" s="16" t="s">
        <v>357</v>
      </c>
      <c r="T29" s="16" t="s">
        <v>357</v>
      </c>
      <c r="U29" s="16"/>
      <c r="V29" s="18" t="str">
        <f t="shared" si="11"/>
        <v>-</v>
      </c>
      <c r="W29" s="19" t="s">
        <v>235</v>
      </c>
      <c r="X29" s="17" t="s">
        <v>93</v>
      </c>
      <c r="Y29" s="19" t="s">
        <v>236</v>
      </c>
      <c r="Z29" s="17" t="s">
        <v>95</v>
      </c>
      <c r="AA29" s="17"/>
      <c r="AB29" s="17"/>
      <c r="AC29" s="20" t="e">
        <f t="shared" si="12"/>
        <v>#VALUE!</v>
      </c>
      <c r="AD29" s="21">
        <f t="shared" si="13"/>
        <v>21</v>
      </c>
      <c r="AE29" s="19"/>
      <c r="AF29" s="17" t="s">
        <v>235</v>
      </c>
      <c r="AG29" s="22">
        <v>61.6</v>
      </c>
      <c r="AH29" s="22">
        <v>44.6</v>
      </c>
      <c r="AI29" s="14" t="s">
        <v>163</v>
      </c>
      <c r="AJ29" s="13" t="str">
        <f t="shared" si="14"/>
        <v>강남권</v>
      </c>
      <c r="AK29" s="13" t="str">
        <f t="shared" si="15"/>
        <v>강남</v>
      </c>
      <c r="AL29" s="23" t="s">
        <v>237</v>
      </c>
      <c r="AM29" s="24" t="e">
        <f t="shared" si="16"/>
        <v>#VALUE!</v>
      </c>
      <c r="AN29" s="24">
        <f t="shared" si="17"/>
        <v>3</v>
      </c>
      <c r="AO29" s="24">
        <f t="shared" si="18"/>
        <v>3</v>
      </c>
      <c r="AP29" s="24">
        <f t="shared" si="19"/>
        <v>4</v>
      </c>
      <c r="AQ29" s="23">
        <v>4</v>
      </c>
      <c r="AR29" s="23">
        <v>4</v>
      </c>
      <c r="AS29" s="24" t="e">
        <f>IF(B29="","",ROUND(AN29*Assumptions!$B$3+AO29*Assumptions!$B$4+AM29*Assumptions!$B$5+AP29*Assumptions!$B$6+AQ29*Assumptions!$B$7+AR29*Assumptions!$B$8,2))</f>
        <v>#VALUE!</v>
      </c>
      <c r="AT29" s="25" t="e">
        <f t="shared" si="20"/>
        <v>#VALUE!</v>
      </c>
      <c r="AU29" s="25" t="str">
        <f t="shared" si="21"/>
        <v>~2.5억</v>
      </c>
      <c r="AV29" s="23" t="s">
        <v>370</v>
      </c>
    </row>
    <row r="30" spans="1:48">
      <c r="A30" s="14">
        <v>43</v>
      </c>
      <c r="B30" s="14" t="s">
        <v>238</v>
      </c>
      <c r="C30" s="14" t="s">
        <v>209</v>
      </c>
      <c r="D30" s="14" t="s">
        <v>239</v>
      </c>
      <c r="E30" s="14" t="s">
        <v>86</v>
      </c>
      <c r="F30" s="14" t="s">
        <v>240</v>
      </c>
      <c r="G30" s="15" t="s">
        <v>197</v>
      </c>
      <c r="H30" s="14" t="s">
        <v>364</v>
      </c>
      <c r="I30" s="14">
        <v>90</v>
      </c>
      <c r="J30" s="14">
        <v>2</v>
      </c>
      <c r="K30" s="14" t="s">
        <v>365</v>
      </c>
      <c r="L30" s="16">
        <v>77000</v>
      </c>
      <c r="M30" s="16">
        <v>77000</v>
      </c>
      <c r="N30" s="17">
        <v>77000</v>
      </c>
      <c r="O30" s="16">
        <v>250</v>
      </c>
      <c r="P30" s="16">
        <v>600</v>
      </c>
      <c r="Q30" s="16">
        <v>7700000</v>
      </c>
      <c r="R30" s="16" t="s">
        <v>357</v>
      </c>
      <c r="S30" s="16" t="s">
        <v>357</v>
      </c>
      <c r="T30" s="16" t="s">
        <v>357</v>
      </c>
      <c r="U30" s="16"/>
      <c r="V30" s="18" t="str">
        <f t="shared" si="11"/>
        <v>-</v>
      </c>
      <c r="W30" s="19" t="s">
        <v>241</v>
      </c>
      <c r="X30" s="17" t="s">
        <v>93</v>
      </c>
      <c r="Y30" s="19" t="s">
        <v>242</v>
      </c>
      <c r="Z30" s="17" t="s">
        <v>95</v>
      </c>
      <c r="AA30" s="17"/>
      <c r="AB30" s="17"/>
      <c r="AC30" s="20" t="e">
        <f t="shared" si="12"/>
        <v>#VALUE!</v>
      </c>
      <c r="AD30" s="21">
        <f t="shared" si="13"/>
        <v>21</v>
      </c>
      <c r="AE30" s="19"/>
      <c r="AF30" s="17" t="s">
        <v>241</v>
      </c>
      <c r="AG30" s="22">
        <v>63.2</v>
      </c>
      <c r="AH30" s="22">
        <v>44.6</v>
      </c>
      <c r="AI30" s="14" t="s">
        <v>243</v>
      </c>
      <c r="AJ30" s="13" t="str">
        <f t="shared" si="14"/>
        <v>강남권</v>
      </c>
      <c r="AK30" s="13" t="str">
        <f t="shared" si="15"/>
        <v>강남</v>
      </c>
      <c r="AL30" s="23"/>
      <c r="AM30" s="24" t="e">
        <f t="shared" si="16"/>
        <v>#VALUE!</v>
      </c>
      <c r="AN30" s="24">
        <f t="shared" si="17"/>
        <v>4</v>
      </c>
      <c r="AO30" s="24">
        <f t="shared" si="18"/>
        <v>3</v>
      </c>
      <c r="AP30" s="24">
        <f t="shared" si="19"/>
        <v>4</v>
      </c>
      <c r="AQ30" s="23">
        <v>3</v>
      </c>
      <c r="AR30" s="23">
        <v>3</v>
      </c>
      <c r="AS30" s="24" t="e">
        <f>IF(B30="","",ROUND(AN30*Assumptions!$B$3+AO30*Assumptions!$B$4+AM30*Assumptions!$B$5+AP30*Assumptions!$B$6+AQ30*Assumptions!$B$7+AR30*Assumptions!$B$8,2))</f>
        <v>#VALUE!</v>
      </c>
      <c r="AT30" s="25" t="e">
        <f t="shared" si="20"/>
        <v>#VALUE!</v>
      </c>
      <c r="AU30" s="25" t="str">
        <f t="shared" si="21"/>
        <v>~2.5억</v>
      </c>
      <c r="AV30" s="23"/>
    </row>
    <row r="31" spans="1:48">
      <c r="A31" s="14">
        <v>44</v>
      </c>
      <c r="B31" s="14" t="s">
        <v>244</v>
      </c>
      <c r="C31" s="14" t="s">
        <v>209</v>
      </c>
      <c r="D31" s="14" t="s">
        <v>245</v>
      </c>
      <c r="E31" s="14" t="s">
        <v>86</v>
      </c>
      <c r="F31" s="14" t="s">
        <v>103</v>
      </c>
      <c r="G31" s="15" t="s">
        <v>88</v>
      </c>
      <c r="H31" s="14" t="s">
        <v>364</v>
      </c>
      <c r="I31" s="14">
        <v>90</v>
      </c>
      <c r="J31" s="14">
        <v>1</v>
      </c>
      <c r="K31" s="14" t="s">
        <v>365</v>
      </c>
      <c r="L31" s="16">
        <v>98000</v>
      </c>
      <c r="M31" s="16">
        <v>98000</v>
      </c>
      <c r="N31" s="17">
        <v>98000</v>
      </c>
      <c r="O31" s="16">
        <v>330</v>
      </c>
      <c r="P31" s="16">
        <v>500</v>
      </c>
      <c r="Q31" s="16">
        <v>14500000</v>
      </c>
      <c r="R31" s="16" t="s">
        <v>357</v>
      </c>
      <c r="S31" s="16" t="s">
        <v>357</v>
      </c>
      <c r="T31" s="16" t="s">
        <v>357</v>
      </c>
      <c r="U31" s="16"/>
      <c r="V31" s="18" t="str">
        <f t="shared" si="11"/>
        <v>-</v>
      </c>
      <c r="W31" s="19"/>
      <c r="X31" s="17" t="s">
        <v>100</v>
      </c>
      <c r="Y31" s="19" t="s">
        <v>246</v>
      </c>
      <c r="Z31" s="17"/>
      <c r="AA31" s="17"/>
      <c r="AB31" s="17"/>
      <c r="AC31" s="20" t="e">
        <f t="shared" si="12"/>
        <v>#VALUE!</v>
      </c>
      <c r="AD31" s="21">
        <f t="shared" si="13"/>
        <v>17</v>
      </c>
      <c r="AE31" s="19"/>
      <c r="AF31" s="17"/>
      <c r="AG31" s="22">
        <v>60.8</v>
      </c>
      <c r="AH31" s="22">
        <v>45.4</v>
      </c>
      <c r="AI31" s="14" t="s">
        <v>185</v>
      </c>
      <c r="AJ31" s="13" t="str">
        <f t="shared" si="14"/>
        <v>강남권</v>
      </c>
      <c r="AK31" s="13" t="str">
        <f t="shared" si="15"/>
        <v>강남</v>
      </c>
      <c r="AL31" s="23"/>
      <c r="AM31" s="24" t="e">
        <f t="shared" si="16"/>
        <v>#VALUE!</v>
      </c>
      <c r="AN31" s="24">
        <f t="shared" si="17"/>
        <v>3</v>
      </c>
      <c r="AO31" s="24">
        <f t="shared" si="18"/>
        <v>1</v>
      </c>
      <c r="AP31" s="24">
        <f t="shared" si="19"/>
        <v>1</v>
      </c>
      <c r="AQ31" s="23">
        <v>3</v>
      </c>
      <c r="AR31" s="23">
        <v>3</v>
      </c>
      <c r="AS31" s="24" t="e">
        <f>IF(B31="","",ROUND(AN31*Assumptions!$B$3+AO31*Assumptions!$B$4+AM31*Assumptions!$B$5+AP31*Assumptions!$B$6+AQ31*Assumptions!$B$7+AR31*Assumptions!$B$8,2))</f>
        <v>#VALUE!</v>
      </c>
      <c r="AT31" s="25" t="e">
        <f t="shared" si="20"/>
        <v>#VALUE!</v>
      </c>
      <c r="AU31" s="25" t="str">
        <f t="shared" si="21"/>
        <v>~2.5억</v>
      </c>
      <c r="AV31" s="23"/>
    </row>
    <row r="32" spans="1:48">
      <c r="A32" s="14">
        <v>45</v>
      </c>
      <c r="B32" s="14" t="s">
        <v>371</v>
      </c>
      <c r="C32" s="14" t="s">
        <v>209</v>
      </c>
      <c r="D32" s="14" t="s">
        <v>247</v>
      </c>
      <c r="E32" s="14" t="s">
        <v>86</v>
      </c>
      <c r="F32" s="14" t="s">
        <v>87</v>
      </c>
      <c r="G32" s="15" t="s">
        <v>197</v>
      </c>
      <c r="H32" s="14" t="s">
        <v>364</v>
      </c>
      <c r="I32" s="14">
        <v>90</v>
      </c>
      <c r="J32" s="14">
        <v>1</v>
      </c>
      <c r="K32" s="14" t="s">
        <v>365</v>
      </c>
      <c r="L32" s="16">
        <v>63000</v>
      </c>
      <c r="M32" s="16">
        <v>63000</v>
      </c>
      <c r="N32" s="17" t="s">
        <v>374</v>
      </c>
      <c r="O32" s="16">
        <v>250</v>
      </c>
      <c r="P32" s="16">
        <v>350</v>
      </c>
      <c r="Q32" s="16">
        <v>6600000</v>
      </c>
      <c r="R32" s="16" t="s">
        <v>357</v>
      </c>
      <c r="S32" s="16" t="s">
        <v>357</v>
      </c>
      <c r="T32" s="16" t="s">
        <v>357</v>
      </c>
      <c r="U32" s="16"/>
      <c r="V32" s="18" t="str">
        <f t="shared" si="11"/>
        <v>-</v>
      </c>
      <c r="W32" s="19"/>
      <c r="X32" s="17" t="s">
        <v>100</v>
      </c>
      <c r="Y32" s="19" t="s">
        <v>248</v>
      </c>
      <c r="Z32" s="17"/>
      <c r="AA32" s="17"/>
      <c r="AB32" s="17"/>
      <c r="AC32" s="20" t="e">
        <f t="shared" si="12"/>
        <v>#VALUE!</v>
      </c>
      <c r="AD32" s="21">
        <f t="shared" si="13"/>
        <v>17</v>
      </c>
      <c r="AE32" s="19"/>
      <c r="AF32" s="17"/>
      <c r="AG32" s="22">
        <v>61.6</v>
      </c>
      <c r="AH32" s="22">
        <v>45.4</v>
      </c>
      <c r="AI32" s="14" t="s">
        <v>185</v>
      </c>
      <c r="AJ32" s="13" t="str">
        <f t="shared" si="14"/>
        <v>강남권</v>
      </c>
      <c r="AK32" s="13" t="str">
        <f t="shared" si="15"/>
        <v>강남</v>
      </c>
      <c r="AL32" s="23"/>
      <c r="AM32" s="24" t="e">
        <f t="shared" si="16"/>
        <v>#VALUE!</v>
      </c>
      <c r="AN32" s="24">
        <f t="shared" si="17"/>
        <v>5</v>
      </c>
      <c r="AO32" s="24">
        <f t="shared" si="18"/>
        <v>3</v>
      </c>
      <c r="AP32" s="24">
        <f t="shared" si="19"/>
        <v>1</v>
      </c>
      <c r="AQ32" s="23">
        <v>3</v>
      </c>
      <c r="AR32" s="23">
        <v>3</v>
      </c>
      <c r="AS32" s="24" t="e">
        <f>IF(B32="","",ROUND(AN32*Assumptions!$B$3+AO32*Assumptions!$B$4+AM32*Assumptions!$B$5+AP32*Assumptions!$B$6+AQ32*Assumptions!$B$7+AR32*Assumptions!$B$8,2))</f>
        <v>#VALUE!</v>
      </c>
      <c r="AT32" s="25" t="e">
        <f t="shared" si="20"/>
        <v>#VALUE!</v>
      </c>
      <c r="AU32" s="25" t="str">
        <f t="shared" si="21"/>
        <v>~2.5억</v>
      </c>
      <c r="AV32" s="23"/>
    </row>
    <row r="33" spans="1:48">
      <c r="A33" s="14">
        <v>46</v>
      </c>
      <c r="B33" s="14" t="s">
        <v>375</v>
      </c>
      <c r="C33" s="14" t="s">
        <v>209</v>
      </c>
      <c r="D33" s="14" t="s">
        <v>249</v>
      </c>
      <c r="E33" s="14" t="s">
        <v>86</v>
      </c>
      <c r="F33" s="14" t="s">
        <v>87</v>
      </c>
      <c r="G33" s="15" t="s">
        <v>166</v>
      </c>
      <c r="H33" s="14" t="s">
        <v>364</v>
      </c>
      <c r="I33" s="14">
        <v>180</v>
      </c>
      <c r="J33" s="14">
        <v>2</v>
      </c>
      <c r="K33" s="14" t="s">
        <v>366</v>
      </c>
      <c r="L33" s="16">
        <v>87000</v>
      </c>
      <c r="M33" s="16">
        <v>111000</v>
      </c>
      <c r="N33" s="17" t="s">
        <v>376</v>
      </c>
      <c r="O33" s="16">
        <v>200</v>
      </c>
      <c r="P33" s="16">
        <v>800</v>
      </c>
      <c r="Q33" s="16">
        <v>8000000</v>
      </c>
      <c r="R33" s="16"/>
      <c r="S33" s="16">
        <v>1000000</v>
      </c>
      <c r="T33" s="16">
        <v>8000000</v>
      </c>
      <c r="U33" s="16"/>
      <c r="V33" s="18">
        <f t="shared" si="11"/>
        <v>8000000</v>
      </c>
      <c r="W33" s="19"/>
      <c r="X33" s="17" t="s">
        <v>100</v>
      </c>
      <c r="Y33" s="19" t="s">
        <v>250</v>
      </c>
      <c r="Z33" s="17"/>
      <c r="AA33" s="17"/>
      <c r="AB33" s="17"/>
      <c r="AC33" s="20" t="e">
        <f t="shared" si="12"/>
        <v>#VALUE!</v>
      </c>
      <c r="AD33" s="21">
        <f t="shared" si="13"/>
        <v>15</v>
      </c>
      <c r="AE33" s="19"/>
      <c r="AF33" s="17"/>
      <c r="AG33" s="22">
        <v>62.4</v>
      </c>
      <c r="AH33" s="22">
        <v>45.4</v>
      </c>
      <c r="AI33" s="14" t="s">
        <v>185</v>
      </c>
      <c r="AJ33" s="13" t="str">
        <f t="shared" si="14"/>
        <v>강남권</v>
      </c>
      <c r="AK33" s="13" t="str">
        <f t="shared" si="15"/>
        <v>강남</v>
      </c>
      <c r="AL33" s="23"/>
      <c r="AM33" s="24" t="e">
        <f t="shared" si="16"/>
        <v>#VALUE!</v>
      </c>
      <c r="AN33" s="24">
        <f t="shared" si="17"/>
        <v>2</v>
      </c>
      <c r="AO33" s="24">
        <f t="shared" si="18"/>
        <v>4</v>
      </c>
      <c r="AP33" s="24">
        <f t="shared" si="19"/>
        <v>1</v>
      </c>
      <c r="AQ33" s="23">
        <v>3</v>
      </c>
      <c r="AR33" s="23">
        <v>3</v>
      </c>
      <c r="AS33" s="24" t="e">
        <f>IF(B33="","",ROUND(AN33*Assumptions!$B$3+AO33*Assumptions!$B$4+AM33*Assumptions!$B$5+AP33*Assumptions!$B$6+AQ33*Assumptions!$B$7+AR33*Assumptions!$B$8,2))</f>
        <v>#VALUE!</v>
      </c>
      <c r="AT33" s="25" t="e">
        <f t="shared" si="20"/>
        <v>#VALUE!</v>
      </c>
      <c r="AU33" s="25" t="str">
        <f t="shared" si="21"/>
        <v>~2.5억</v>
      </c>
      <c r="AV33" s="23"/>
    </row>
    <row r="34" spans="1:48">
      <c r="A34" s="14">
        <v>47</v>
      </c>
      <c r="B34" s="14" t="s">
        <v>251</v>
      </c>
      <c r="C34" s="14" t="s">
        <v>209</v>
      </c>
      <c r="D34" s="14" t="s">
        <v>215</v>
      </c>
      <c r="E34" s="14" t="s">
        <v>86</v>
      </c>
      <c r="F34" s="14" t="s">
        <v>87</v>
      </c>
      <c r="G34" s="15" t="s">
        <v>88</v>
      </c>
      <c r="H34" s="14" t="s">
        <v>364</v>
      </c>
      <c r="I34" s="14">
        <v>90</v>
      </c>
      <c r="J34" s="14">
        <v>1</v>
      </c>
      <c r="K34" s="14" t="s">
        <v>365</v>
      </c>
      <c r="L34" s="16">
        <v>85000</v>
      </c>
      <c r="M34" s="16">
        <v>85000</v>
      </c>
      <c r="N34" s="17">
        <v>85000</v>
      </c>
      <c r="O34" s="16">
        <v>250</v>
      </c>
      <c r="P34" s="16">
        <v>600</v>
      </c>
      <c r="Q34" s="16">
        <v>8500000</v>
      </c>
      <c r="R34" s="16" t="s">
        <v>357</v>
      </c>
      <c r="S34" s="16" t="s">
        <v>357</v>
      </c>
      <c r="T34" s="16" t="s">
        <v>357</v>
      </c>
      <c r="U34" s="16"/>
      <c r="V34" s="18" t="str">
        <f t="shared" si="11"/>
        <v>-</v>
      </c>
      <c r="W34" s="19"/>
      <c r="X34" s="17" t="s">
        <v>100</v>
      </c>
      <c r="Y34" s="19" t="s">
        <v>252</v>
      </c>
      <c r="Z34" s="17"/>
      <c r="AA34" s="17"/>
      <c r="AB34" s="17"/>
      <c r="AC34" s="20" t="e">
        <f t="shared" si="12"/>
        <v>#VALUE!</v>
      </c>
      <c r="AD34" s="21">
        <f t="shared" si="13"/>
        <v>17</v>
      </c>
      <c r="AE34" s="19"/>
      <c r="AF34" s="17"/>
      <c r="AG34" s="22">
        <v>63.2</v>
      </c>
      <c r="AH34" s="22">
        <v>45.4</v>
      </c>
      <c r="AI34" s="14" t="s">
        <v>207</v>
      </c>
      <c r="AJ34" s="13" t="str">
        <f t="shared" si="14"/>
        <v>강남권</v>
      </c>
      <c r="AK34" s="13" t="str">
        <f t="shared" si="15"/>
        <v>강남</v>
      </c>
      <c r="AL34" s="23"/>
      <c r="AM34" s="24" t="e">
        <f t="shared" si="16"/>
        <v>#VALUE!</v>
      </c>
      <c r="AN34" s="24">
        <f t="shared" si="17"/>
        <v>4</v>
      </c>
      <c r="AO34" s="24">
        <f t="shared" si="18"/>
        <v>3</v>
      </c>
      <c r="AP34" s="24">
        <f t="shared" si="19"/>
        <v>1</v>
      </c>
      <c r="AQ34" s="23">
        <v>3</v>
      </c>
      <c r="AR34" s="23">
        <v>3</v>
      </c>
      <c r="AS34" s="24" t="e">
        <f>IF(B34="","",ROUND(AN34*Assumptions!$B$3+AO34*Assumptions!$B$4+AM34*Assumptions!$B$5+AP34*Assumptions!$B$6+AQ34*Assumptions!$B$7+AR34*Assumptions!$B$8,2))</f>
        <v>#VALUE!</v>
      </c>
      <c r="AT34" s="25" t="e">
        <f t="shared" si="20"/>
        <v>#VALUE!</v>
      </c>
      <c r="AU34" s="25" t="str">
        <f t="shared" si="21"/>
        <v>~2.5억</v>
      </c>
      <c r="AV34" s="23"/>
    </row>
    <row r="35" spans="1:48">
      <c r="A35" s="14">
        <v>48</v>
      </c>
      <c r="B35" s="14" t="s">
        <v>253</v>
      </c>
      <c r="C35" s="14" t="s">
        <v>209</v>
      </c>
      <c r="D35" s="14" t="s">
        <v>254</v>
      </c>
      <c r="E35" s="14" t="s">
        <v>86</v>
      </c>
      <c r="F35" s="14" t="s">
        <v>87</v>
      </c>
      <c r="G35" s="15" t="s">
        <v>166</v>
      </c>
      <c r="H35" s="14" t="s">
        <v>368</v>
      </c>
      <c r="I35" s="14">
        <v>180</v>
      </c>
      <c r="J35" s="14">
        <v>3</v>
      </c>
      <c r="K35" s="14" t="s">
        <v>366</v>
      </c>
      <c r="L35" s="16">
        <v>99000</v>
      </c>
      <c r="M35" s="16">
        <v>119000</v>
      </c>
      <c r="N35" s="17" t="s">
        <v>377</v>
      </c>
      <c r="O35" s="16">
        <v>250</v>
      </c>
      <c r="P35" s="16">
        <v>360</v>
      </c>
      <c r="Q35" s="16">
        <v>12000000</v>
      </c>
      <c r="R35" s="16">
        <v>12000000</v>
      </c>
      <c r="S35" s="16" t="s">
        <v>357</v>
      </c>
      <c r="T35" s="16" t="s">
        <v>357</v>
      </c>
      <c r="U35" s="16"/>
      <c r="V35" s="18" t="str">
        <f t="shared" si="11"/>
        <v>-</v>
      </c>
      <c r="W35" s="19"/>
      <c r="X35" s="17" t="s">
        <v>100</v>
      </c>
      <c r="Y35" s="19" t="s">
        <v>255</v>
      </c>
      <c r="Z35" s="17"/>
      <c r="AA35" s="17"/>
      <c r="AB35" s="17"/>
      <c r="AC35" s="20" t="e">
        <f t="shared" si="12"/>
        <v>#VALUE!</v>
      </c>
      <c r="AD35" s="21">
        <f t="shared" si="13"/>
        <v>17</v>
      </c>
      <c r="AE35" s="19"/>
      <c r="AF35" s="17"/>
      <c r="AG35" s="22">
        <v>60.8</v>
      </c>
      <c r="AH35" s="22">
        <v>46.2</v>
      </c>
      <c r="AI35" s="14" t="s">
        <v>207</v>
      </c>
      <c r="AJ35" s="13" t="str">
        <f t="shared" si="14"/>
        <v>강남권</v>
      </c>
      <c r="AK35" s="13" t="str">
        <f t="shared" si="15"/>
        <v>강남</v>
      </c>
      <c r="AL35" s="23"/>
      <c r="AM35" s="24" t="e">
        <f t="shared" si="16"/>
        <v>#VALUE!</v>
      </c>
      <c r="AN35" s="24">
        <f t="shared" si="17"/>
        <v>2</v>
      </c>
      <c r="AO35" s="24">
        <f t="shared" si="18"/>
        <v>3</v>
      </c>
      <c r="AP35" s="24">
        <f t="shared" si="19"/>
        <v>1</v>
      </c>
      <c r="AQ35" s="23">
        <v>3</v>
      </c>
      <c r="AR35" s="23">
        <v>3</v>
      </c>
      <c r="AS35" s="24" t="e">
        <f>IF(B35="","",ROUND(AN35*Assumptions!$B$3+AO35*Assumptions!$B$4+AM35*Assumptions!$B$5+AP35*Assumptions!$B$6+AQ35*Assumptions!$B$7+AR35*Assumptions!$B$8,2))</f>
        <v>#VALUE!</v>
      </c>
      <c r="AT35" s="25" t="e">
        <f t="shared" si="20"/>
        <v>#VALUE!</v>
      </c>
      <c r="AU35" s="25" t="str">
        <f t="shared" si="21"/>
        <v>~2.5억</v>
      </c>
      <c r="AV35" s="23"/>
    </row>
    <row r="36" spans="1:48">
      <c r="A36" s="14">
        <v>49</v>
      </c>
      <c r="B36" s="14" t="s">
        <v>256</v>
      </c>
      <c r="C36" s="14" t="s">
        <v>209</v>
      </c>
      <c r="D36" s="14" t="s">
        <v>257</v>
      </c>
      <c r="E36" s="14" t="s">
        <v>86</v>
      </c>
      <c r="F36" s="14" t="s">
        <v>103</v>
      </c>
      <c r="G36" s="15" t="s">
        <v>88</v>
      </c>
      <c r="H36" s="14" t="s">
        <v>364</v>
      </c>
      <c r="I36" s="14">
        <v>90</v>
      </c>
      <c r="J36" s="14">
        <v>1</v>
      </c>
      <c r="K36" s="14" t="s">
        <v>366</v>
      </c>
      <c r="L36" s="16">
        <v>95000</v>
      </c>
      <c r="M36" s="16">
        <v>95000</v>
      </c>
      <c r="N36" s="17">
        <v>95000</v>
      </c>
      <c r="O36" s="16">
        <v>250</v>
      </c>
      <c r="P36" s="16">
        <v>1000</v>
      </c>
      <c r="Q36" s="16">
        <v>9500000</v>
      </c>
      <c r="R36" s="16" t="s">
        <v>357</v>
      </c>
      <c r="S36" s="16" t="s">
        <v>357</v>
      </c>
      <c r="T36" s="16" t="s">
        <v>357</v>
      </c>
      <c r="U36" s="16"/>
      <c r="V36" s="18" t="str">
        <f t="shared" si="11"/>
        <v>-</v>
      </c>
      <c r="W36" s="19"/>
      <c r="X36" s="17" t="s">
        <v>100</v>
      </c>
      <c r="Y36" s="19" t="s">
        <v>258</v>
      </c>
      <c r="Z36" s="17"/>
      <c r="AA36" s="17"/>
      <c r="AB36" s="17"/>
      <c r="AC36" s="20" t="e">
        <f t="shared" si="12"/>
        <v>#VALUE!</v>
      </c>
      <c r="AD36" s="21">
        <f t="shared" si="13"/>
        <v>17</v>
      </c>
      <c r="AE36" s="19"/>
      <c r="AF36" s="17"/>
      <c r="AG36" s="22">
        <v>61.6</v>
      </c>
      <c r="AH36" s="22">
        <v>46.2</v>
      </c>
      <c r="AI36" s="14" t="s">
        <v>207</v>
      </c>
      <c r="AJ36" s="13" t="str">
        <f t="shared" si="14"/>
        <v>강남권</v>
      </c>
      <c r="AK36" s="13" t="str">
        <f t="shared" si="15"/>
        <v>강남</v>
      </c>
      <c r="AL36" s="23"/>
      <c r="AM36" s="24" t="e">
        <f t="shared" si="16"/>
        <v>#VALUE!</v>
      </c>
      <c r="AN36" s="24">
        <f t="shared" si="17"/>
        <v>3</v>
      </c>
      <c r="AO36" s="24">
        <f t="shared" si="18"/>
        <v>3</v>
      </c>
      <c r="AP36" s="24">
        <f t="shared" si="19"/>
        <v>1</v>
      </c>
      <c r="AQ36" s="23">
        <v>3</v>
      </c>
      <c r="AR36" s="23">
        <v>3</v>
      </c>
      <c r="AS36" s="24" t="e">
        <f>IF(B36="","",ROUND(AN36*Assumptions!$B$3+AO36*Assumptions!$B$4+AM36*Assumptions!$B$5+AP36*Assumptions!$B$6+AQ36*Assumptions!$B$7+AR36*Assumptions!$B$8,2))</f>
        <v>#VALUE!</v>
      </c>
      <c r="AT36" s="25" t="e">
        <f t="shared" si="20"/>
        <v>#VALUE!</v>
      </c>
      <c r="AU36" s="25" t="str">
        <f t="shared" si="21"/>
        <v>~2.5억</v>
      </c>
      <c r="AV36" s="23"/>
    </row>
    <row r="37" spans="1:48">
      <c r="A37" s="14">
        <v>49</v>
      </c>
      <c r="B37" s="14" t="s">
        <v>256</v>
      </c>
      <c r="C37" s="14" t="s">
        <v>209</v>
      </c>
      <c r="D37" s="14" t="s">
        <v>257</v>
      </c>
      <c r="E37" s="14" t="s">
        <v>86</v>
      </c>
      <c r="F37" s="14" t="s">
        <v>103</v>
      </c>
      <c r="G37" s="15" t="s">
        <v>88</v>
      </c>
      <c r="H37" s="14" t="s">
        <v>368</v>
      </c>
      <c r="I37" s="14">
        <v>300</v>
      </c>
      <c r="J37" s="14">
        <v>1</v>
      </c>
      <c r="K37" s="14" t="s">
        <v>366</v>
      </c>
      <c r="L37" s="16">
        <v>95000</v>
      </c>
      <c r="M37" s="16">
        <v>95000</v>
      </c>
      <c r="N37" s="17">
        <v>95000</v>
      </c>
      <c r="O37" s="16">
        <v>150</v>
      </c>
      <c r="P37" s="16">
        <v>200</v>
      </c>
      <c r="Q37" s="16">
        <v>11000000</v>
      </c>
      <c r="R37" s="16" t="s">
        <v>357</v>
      </c>
      <c r="S37" s="16" t="s">
        <v>357</v>
      </c>
      <c r="T37" s="16" t="s">
        <v>357</v>
      </c>
      <c r="U37" s="16"/>
      <c r="V37" s="18" t="str">
        <f t="shared" ref="V37" si="22">IF(AND(T37="",AB37&gt;0),ROUND(AB37*10%,-4),T37)</f>
        <v>-</v>
      </c>
      <c r="W37" s="19"/>
      <c r="X37" s="17" t="s">
        <v>100</v>
      </c>
      <c r="Y37" s="19" t="s">
        <v>258</v>
      </c>
      <c r="Z37" s="17"/>
      <c r="AA37" s="17"/>
      <c r="AB37" s="17"/>
      <c r="AC37" s="20" t="e">
        <f t="shared" ref="AC37" si="23">IF(AND(L37&gt;0,N37&gt;0),L37*N37+IF(P37="",0,P37)+IF(Q37="",0,Q37)+IF(S37="",0,S37),"")</f>
        <v>#VALUE!</v>
      </c>
      <c r="AD37" s="21">
        <f t="shared" ref="AD37" si="24">IF(COUNTA(B37:AB37)=0,"",COUNTA(B37:AB37)-COUNTBLANK(B37:AB37))</f>
        <v>17</v>
      </c>
      <c r="AE37" s="19"/>
      <c r="AF37" s="17"/>
      <c r="AG37" s="22">
        <v>61.6</v>
      </c>
      <c r="AH37" s="22">
        <v>46.2</v>
      </c>
      <c r="AI37" s="14" t="s">
        <v>207</v>
      </c>
      <c r="AJ37" s="13" t="str">
        <f t="shared" ref="AJ37" si="25">IF(OR(C37="강남구",C37="서초구",C37="송파구"),"강남권","비강남권")</f>
        <v>강남권</v>
      </c>
      <c r="AK37" s="13" t="str">
        <f t="shared" ref="AK37" si="26">IF(C37="강남구","강남",IF(C37="서초구","서초",IF(C37="송파구","송파",IF(C37="영등포구","영등포",IF(C37="마포구","마포","기타")))))</f>
        <v>강남</v>
      </c>
      <c r="AL37" s="23"/>
      <c r="AM37" s="24" t="e">
        <f t="shared" ref="AM37" si="27">IF(B37="","",MIN(5,IF(ISNUMBER(SEARCH("역",AC37)),4,IF(AC37&lt;&gt;"",3,2))+IF(Z37&lt;&gt;"",1,0)))</f>
        <v>#VALUE!</v>
      </c>
      <c r="AN37" s="24">
        <f t="shared" ref="AN37" si="28">IF(M37="","",IF(M37&lt;=70000,5,IF(M37&lt;=85000,4,IF(M37&lt;=100000,3,IF(M37&lt;=120000,2,1)))))</f>
        <v>3</v>
      </c>
      <c r="AO37" s="24">
        <f t="shared" ref="AO37" si="29">IF(O37="","",IF(O37&lt;=150,5,IF(O37&lt;=200,4,IF(O37&lt;=250,3,IF(O37&lt;=300,2,1)))))</f>
        <v>5</v>
      </c>
      <c r="AP37" s="24">
        <f t="shared" ref="AP37" si="30">IF(B37="","",IF(AND(X37="확인",U37&gt;0),5,IF(X37="확인",4,IF(AE37&lt;&gt;"",2,1))))</f>
        <v>1</v>
      </c>
      <c r="AQ37" s="23">
        <v>3</v>
      </c>
      <c r="AR37" s="23">
        <v>3</v>
      </c>
      <c r="AS37" s="24" t="e">
        <f>IF(B37="","",ROUND(AN37*Assumptions!$B$3+AO37*Assumptions!$B$4+AM37*Assumptions!$B$5+AP37*Assumptions!$B$6+AQ37*Assumptions!$B$7+AR37*Assumptions!$B$8,2))</f>
        <v>#VALUE!</v>
      </c>
      <c r="AT37" s="25" t="e">
        <f t="shared" ref="AT37" si="31">IF(AS37="","",IF(AS37&gt;=4.2,"A",IF(AS37&gt;=3.4,"B","C")))</f>
        <v>#VALUE!</v>
      </c>
      <c r="AU37" s="25" t="str">
        <f t="shared" ref="AU37" si="32">IF(AD37="","",IF(AD37&lt;=25000000,"~2.5억",IF(AD37&lt;=35000000,"2.5~3.5억",IF(AD37&lt;=50000000,"3.5~5억","5억+"))))</f>
        <v>~2.5억</v>
      </c>
      <c r="AV37" s="23"/>
    </row>
    <row r="38" spans="1:48">
      <c r="A38" s="14">
        <v>50</v>
      </c>
      <c r="B38" s="14" t="s">
        <v>259</v>
      </c>
      <c r="C38" s="14" t="s">
        <v>209</v>
      </c>
      <c r="D38" s="14" t="s">
        <v>260</v>
      </c>
      <c r="E38" s="14" t="s">
        <v>86</v>
      </c>
      <c r="F38" s="14" t="s">
        <v>103</v>
      </c>
      <c r="G38" s="15" t="s">
        <v>88</v>
      </c>
      <c r="H38" s="14" t="s">
        <v>364</v>
      </c>
      <c r="I38" s="14">
        <v>240</v>
      </c>
      <c r="J38" s="14">
        <v>1</v>
      </c>
      <c r="K38" s="14" t="s">
        <v>365</v>
      </c>
      <c r="L38" s="16">
        <v>98000</v>
      </c>
      <c r="M38" s="16">
        <v>98000</v>
      </c>
      <c r="N38" s="17">
        <v>98000</v>
      </c>
      <c r="O38" s="16">
        <v>150</v>
      </c>
      <c r="P38" s="16">
        <v>250</v>
      </c>
      <c r="Q38" s="16">
        <v>5800000</v>
      </c>
      <c r="R38" s="16" t="s">
        <v>357</v>
      </c>
      <c r="S38" s="16">
        <v>1500000</v>
      </c>
      <c r="T38" s="16">
        <v>3900000</v>
      </c>
      <c r="U38" s="16"/>
      <c r="V38" s="18">
        <f t="shared" si="11"/>
        <v>3900000</v>
      </c>
      <c r="W38" s="19"/>
      <c r="X38" s="17" t="s">
        <v>100</v>
      </c>
      <c r="Y38" s="19" t="s">
        <v>261</v>
      </c>
      <c r="Z38" s="17"/>
      <c r="AA38" s="17"/>
      <c r="AB38" s="17"/>
      <c r="AC38" s="20">
        <f t="shared" si="12"/>
        <v>9611300250</v>
      </c>
      <c r="AD38" s="21">
        <f t="shared" si="13"/>
        <v>17</v>
      </c>
      <c r="AE38" s="19"/>
      <c r="AF38" s="17"/>
      <c r="AG38" s="22">
        <v>62.4</v>
      </c>
      <c r="AH38" s="22">
        <v>46.2</v>
      </c>
      <c r="AI38" s="14" t="s">
        <v>207</v>
      </c>
      <c r="AJ38" s="13" t="str">
        <f t="shared" si="14"/>
        <v>강남권</v>
      </c>
      <c r="AK38" s="13" t="str">
        <f t="shared" si="15"/>
        <v>강남</v>
      </c>
      <c r="AL38" s="23"/>
      <c r="AM38" s="24">
        <f t="shared" si="16"/>
        <v>3</v>
      </c>
      <c r="AN38" s="24">
        <f t="shared" si="17"/>
        <v>3</v>
      </c>
      <c r="AO38" s="24">
        <f t="shared" si="18"/>
        <v>5</v>
      </c>
      <c r="AP38" s="24">
        <f t="shared" si="19"/>
        <v>1</v>
      </c>
      <c r="AQ38" s="23">
        <v>3</v>
      </c>
      <c r="AR38" s="23">
        <v>3</v>
      </c>
      <c r="AS38" s="24">
        <f>IF(B38="","",ROUND(AN38*Assumptions!$B$3+AO38*Assumptions!$B$4+AM38*Assumptions!$B$5+AP38*Assumptions!$B$6+AQ38*Assumptions!$B$7+AR38*Assumptions!$B$8,2))</f>
        <v>2.8</v>
      </c>
      <c r="AT38" s="25" t="str">
        <f t="shared" si="20"/>
        <v>C</v>
      </c>
      <c r="AU38" s="25" t="str">
        <f t="shared" si="21"/>
        <v>~2.5억</v>
      </c>
      <c r="AV38" s="23"/>
    </row>
    <row r="39" spans="1:48">
      <c r="A39" s="14">
        <v>51</v>
      </c>
      <c r="B39" s="14" t="s">
        <v>262</v>
      </c>
      <c r="C39" s="14" t="s">
        <v>209</v>
      </c>
      <c r="D39" s="14" t="s">
        <v>263</v>
      </c>
      <c r="E39" s="14" t="s">
        <v>86</v>
      </c>
      <c r="F39" s="14" t="s">
        <v>87</v>
      </c>
      <c r="G39" s="15" t="s">
        <v>166</v>
      </c>
      <c r="H39" s="14" t="s">
        <v>89</v>
      </c>
      <c r="I39" s="14">
        <v>120</v>
      </c>
      <c r="J39" s="14">
        <v>1</v>
      </c>
      <c r="K39" s="14" t="s">
        <v>90</v>
      </c>
      <c r="L39" s="16">
        <v>83000</v>
      </c>
      <c r="M39" s="16">
        <v>83000</v>
      </c>
      <c r="N39" s="17">
        <v>83000</v>
      </c>
      <c r="O39" s="16">
        <v>350</v>
      </c>
      <c r="P39" s="16">
        <v>700</v>
      </c>
      <c r="Q39" s="16">
        <v>9000000</v>
      </c>
      <c r="R39" s="16" t="s">
        <v>357</v>
      </c>
      <c r="S39" s="16" t="s">
        <v>357</v>
      </c>
      <c r="T39" s="16" t="s">
        <v>357</v>
      </c>
      <c r="U39" s="16"/>
      <c r="V39" s="18" t="str">
        <f t="shared" si="11"/>
        <v>-</v>
      </c>
      <c r="W39" s="19" t="s">
        <v>264</v>
      </c>
      <c r="X39" s="17" t="s">
        <v>93</v>
      </c>
      <c r="Y39" s="19" t="s">
        <v>265</v>
      </c>
      <c r="Z39" s="17" t="s">
        <v>95</v>
      </c>
      <c r="AA39" s="17"/>
      <c r="AB39" s="17"/>
      <c r="AC39" s="20" t="e">
        <f t="shared" si="12"/>
        <v>#VALUE!</v>
      </c>
      <c r="AD39" s="21">
        <f t="shared" si="13"/>
        <v>21</v>
      </c>
      <c r="AE39" s="19"/>
      <c r="AF39" s="17" t="s">
        <v>264</v>
      </c>
      <c r="AG39" s="22">
        <v>63.2</v>
      </c>
      <c r="AH39" s="22">
        <v>46.2</v>
      </c>
      <c r="AI39" s="14" t="s">
        <v>114</v>
      </c>
      <c r="AJ39" s="13" t="str">
        <f t="shared" si="14"/>
        <v>강남권</v>
      </c>
      <c r="AK39" s="13" t="str">
        <f t="shared" si="15"/>
        <v>강남</v>
      </c>
      <c r="AL39" s="23" t="s">
        <v>266</v>
      </c>
      <c r="AM39" s="24" t="e">
        <f t="shared" si="16"/>
        <v>#VALUE!</v>
      </c>
      <c r="AN39" s="24">
        <f t="shared" si="17"/>
        <v>4</v>
      </c>
      <c r="AO39" s="24">
        <f t="shared" si="18"/>
        <v>1</v>
      </c>
      <c r="AP39" s="24">
        <f t="shared" si="19"/>
        <v>4</v>
      </c>
      <c r="AQ39" s="23">
        <v>4</v>
      </c>
      <c r="AR39" s="23">
        <v>4</v>
      </c>
      <c r="AS39" s="24" t="e">
        <f>IF(B39="","",ROUND(AN39*Assumptions!$B$3+AO39*Assumptions!$B$4+AM39*Assumptions!$B$5+AP39*Assumptions!$B$6+AQ39*Assumptions!$B$7+AR39*Assumptions!$B$8,2))</f>
        <v>#VALUE!</v>
      </c>
      <c r="AT39" s="25" t="e">
        <f t="shared" si="20"/>
        <v>#VALUE!</v>
      </c>
      <c r="AU39" s="25" t="str">
        <f t="shared" si="21"/>
        <v>~2.5억</v>
      </c>
      <c r="AV39" s="23"/>
    </row>
    <row r="40" spans="1:48">
      <c r="A40" s="14">
        <v>52</v>
      </c>
      <c r="B40" s="14" t="s">
        <v>267</v>
      </c>
      <c r="C40" s="14" t="s">
        <v>268</v>
      </c>
      <c r="D40" s="14" t="s">
        <v>269</v>
      </c>
      <c r="E40" s="14" t="s">
        <v>86</v>
      </c>
      <c r="F40" s="14" t="s">
        <v>87</v>
      </c>
      <c r="G40" s="15" t="s">
        <v>197</v>
      </c>
      <c r="H40" s="14" t="s">
        <v>89</v>
      </c>
      <c r="I40" s="14">
        <v>90</v>
      </c>
      <c r="J40" s="14">
        <v>1</v>
      </c>
      <c r="K40" s="14" t="s">
        <v>90</v>
      </c>
      <c r="L40" s="16">
        <v>110000</v>
      </c>
      <c r="M40" s="16">
        <v>110000</v>
      </c>
      <c r="N40" s="17">
        <v>110000</v>
      </c>
      <c r="O40" s="16">
        <v>300</v>
      </c>
      <c r="P40" s="16">
        <v>500</v>
      </c>
      <c r="Q40" s="16">
        <v>11000000</v>
      </c>
      <c r="R40" s="16" t="s">
        <v>357</v>
      </c>
      <c r="S40" s="16" t="s">
        <v>357</v>
      </c>
      <c r="T40" s="16" t="s">
        <v>357</v>
      </c>
      <c r="U40" s="16"/>
      <c r="V40" s="18" t="str">
        <f t="shared" si="11"/>
        <v>-</v>
      </c>
      <c r="W40" s="19" t="s">
        <v>270</v>
      </c>
      <c r="X40" s="17" t="s">
        <v>93</v>
      </c>
      <c r="Y40" s="19" t="s">
        <v>271</v>
      </c>
      <c r="Z40" s="17" t="s">
        <v>95</v>
      </c>
      <c r="AA40" s="17"/>
      <c r="AB40" s="17"/>
      <c r="AC40" s="20" t="e">
        <f t="shared" si="12"/>
        <v>#VALUE!</v>
      </c>
      <c r="AD40" s="21">
        <f t="shared" si="13"/>
        <v>21</v>
      </c>
      <c r="AE40" s="19"/>
      <c r="AF40" s="17" t="s">
        <v>270</v>
      </c>
      <c r="AG40" s="22">
        <v>66.8</v>
      </c>
      <c r="AH40" s="22">
        <v>44.8</v>
      </c>
      <c r="AI40" s="14" t="s">
        <v>205</v>
      </c>
      <c r="AJ40" s="13" t="str">
        <f t="shared" si="14"/>
        <v>강남권</v>
      </c>
      <c r="AK40" s="13" t="str">
        <f t="shared" si="15"/>
        <v>송파</v>
      </c>
      <c r="AL40" s="23" t="s">
        <v>272</v>
      </c>
      <c r="AM40" s="24" t="e">
        <f t="shared" si="16"/>
        <v>#VALUE!</v>
      </c>
      <c r="AN40" s="24">
        <f t="shared" si="17"/>
        <v>2</v>
      </c>
      <c r="AO40" s="24">
        <f t="shared" si="18"/>
        <v>2</v>
      </c>
      <c r="AP40" s="24">
        <f t="shared" si="19"/>
        <v>4</v>
      </c>
      <c r="AQ40" s="23">
        <v>4</v>
      </c>
      <c r="AR40" s="23">
        <v>4</v>
      </c>
      <c r="AS40" s="24" t="e">
        <f>IF(B40="","",ROUND(AN40*Assumptions!$B$3+AO40*Assumptions!$B$4+AM40*Assumptions!$B$5+AP40*Assumptions!$B$6+AQ40*Assumptions!$B$7+AR40*Assumptions!$B$8,2))</f>
        <v>#VALUE!</v>
      </c>
      <c r="AT40" s="25" t="e">
        <f t="shared" si="20"/>
        <v>#VALUE!</v>
      </c>
      <c r="AU40" s="25" t="str">
        <f t="shared" si="21"/>
        <v>~2.5억</v>
      </c>
      <c r="AV40" s="23"/>
    </row>
    <row r="41" spans="1:48">
      <c r="A41" s="14">
        <v>53</v>
      </c>
      <c r="B41" s="14" t="s">
        <v>273</v>
      </c>
      <c r="C41" s="14" t="s">
        <v>268</v>
      </c>
      <c r="D41" s="14" t="s">
        <v>274</v>
      </c>
      <c r="E41" s="14" t="s">
        <v>86</v>
      </c>
      <c r="F41" s="14" t="s">
        <v>87</v>
      </c>
      <c r="G41" s="15" t="s">
        <v>166</v>
      </c>
      <c r="H41" s="14" t="s">
        <v>364</v>
      </c>
      <c r="I41" s="14">
        <v>80</v>
      </c>
      <c r="J41" s="14">
        <v>1</v>
      </c>
      <c r="K41" s="14" t="s">
        <v>365</v>
      </c>
      <c r="L41" s="16">
        <v>95000</v>
      </c>
      <c r="M41" s="16">
        <v>95000</v>
      </c>
      <c r="N41" s="17" t="s">
        <v>378</v>
      </c>
      <c r="O41" s="16">
        <v>350</v>
      </c>
      <c r="P41" s="16">
        <v>1000</v>
      </c>
      <c r="Q41" s="16">
        <v>10500000</v>
      </c>
      <c r="R41" s="16" t="s">
        <v>357</v>
      </c>
      <c r="S41" s="16" t="s">
        <v>357</v>
      </c>
      <c r="T41" s="16" t="s">
        <v>357</v>
      </c>
      <c r="U41" s="16"/>
      <c r="V41" s="18" t="str">
        <f t="shared" si="11"/>
        <v>-</v>
      </c>
      <c r="W41" s="19" t="s">
        <v>275</v>
      </c>
      <c r="X41" s="17" t="s">
        <v>93</v>
      </c>
      <c r="Y41" s="19" t="s">
        <v>276</v>
      </c>
      <c r="Z41" s="17" t="s">
        <v>95</v>
      </c>
      <c r="AA41" s="17"/>
      <c r="AB41" s="17"/>
      <c r="AC41" s="20" t="e">
        <f t="shared" si="12"/>
        <v>#VALUE!</v>
      </c>
      <c r="AD41" s="21">
        <f t="shared" si="13"/>
        <v>21</v>
      </c>
      <c r="AE41" s="19"/>
      <c r="AF41" s="17" t="s">
        <v>275</v>
      </c>
      <c r="AG41" s="22">
        <v>67.599999999999994</v>
      </c>
      <c r="AH41" s="22">
        <v>44.8</v>
      </c>
      <c r="AI41" s="14" t="s">
        <v>114</v>
      </c>
      <c r="AJ41" s="13" t="str">
        <f t="shared" si="14"/>
        <v>강남권</v>
      </c>
      <c r="AK41" s="13" t="str">
        <f t="shared" si="15"/>
        <v>송파</v>
      </c>
      <c r="AL41" s="23" t="s">
        <v>277</v>
      </c>
      <c r="AM41" s="24" t="e">
        <f t="shared" si="16"/>
        <v>#VALUE!</v>
      </c>
      <c r="AN41" s="24">
        <f t="shared" si="17"/>
        <v>3</v>
      </c>
      <c r="AO41" s="24">
        <f t="shared" si="18"/>
        <v>1</v>
      </c>
      <c r="AP41" s="24">
        <f t="shared" si="19"/>
        <v>4</v>
      </c>
      <c r="AQ41" s="23">
        <v>3</v>
      </c>
      <c r="AR41" s="23">
        <v>4</v>
      </c>
      <c r="AS41" s="24" t="e">
        <f>IF(B41="","",ROUND(AN41*Assumptions!$B$3+AO41*Assumptions!$B$4+AM41*Assumptions!$B$5+AP41*Assumptions!$B$6+AQ41*Assumptions!$B$7+AR41*Assumptions!$B$8,2))</f>
        <v>#VALUE!</v>
      </c>
      <c r="AT41" s="25" t="e">
        <f t="shared" si="20"/>
        <v>#VALUE!</v>
      </c>
      <c r="AU41" s="25" t="str">
        <f t="shared" si="21"/>
        <v>~2.5억</v>
      </c>
      <c r="AV41" s="23"/>
    </row>
    <row r="42" spans="1:48">
      <c r="A42" s="14">
        <v>54</v>
      </c>
      <c r="B42" s="14" t="s">
        <v>278</v>
      </c>
      <c r="C42" s="14" t="s">
        <v>268</v>
      </c>
      <c r="D42" s="14" t="s">
        <v>279</v>
      </c>
      <c r="E42" s="14" t="s">
        <v>86</v>
      </c>
      <c r="F42" s="14" t="s">
        <v>87</v>
      </c>
      <c r="G42" s="15" t="s">
        <v>197</v>
      </c>
      <c r="H42" s="14" t="s">
        <v>89</v>
      </c>
      <c r="I42" s="14">
        <v>80</v>
      </c>
      <c r="J42" s="14">
        <v>3</v>
      </c>
      <c r="K42" s="14" t="s">
        <v>90</v>
      </c>
      <c r="L42" s="16">
        <v>110000</v>
      </c>
      <c r="M42" s="16">
        <v>110000</v>
      </c>
      <c r="N42" s="17">
        <v>110000</v>
      </c>
      <c r="O42" s="16">
        <v>300</v>
      </c>
      <c r="P42" s="16">
        <v>1000</v>
      </c>
      <c r="Q42" s="16">
        <v>12000000</v>
      </c>
      <c r="R42" s="16" t="s">
        <v>357</v>
      </c>
      <c r="S42" s="16" t="s">
        <v>357</v>
      </c>
      <c r="T42" s="16" t="s">
        <v>357</v>
      </c>
      <c r="U42" s="16"/>
      <c r="V42" s="18" t="str">
        <f t="shared" si="11"/>
        <v>-</v>
      </c>
      <c r="W42" s="19" t="s">
        <v>280</v>
      </c>
      <c r="X42" s="17" t="s">
        <v>93</v>
      </c>
      <c r="Y42" s="19" t="s">
        <v>281</v>
      </c>
      <c r="Z42" s="17" t="s">
        <v>95</v>
      </c>
      <c r="AA42" s="17" t="s">
        <v>127</v>
      </c>
      <c r="AB42" s="17"/>
      <c r="AC42" s="20" t="e">
        <f t="shared" si="12"/>
        <v>#VALUE!</v>
      </c>
      <c r="AD42" s="21">
        <f t="shared" si="13"/>
        <v>23</v>
      </c>
      <c r="AE42" s="19"/>
      <c r="AF42" s="17" t="s">
        <v>282</v>
      </c>
      <c r="AG42" s="22">
        <v>68.400000000000006</v>
      </c>
      <c r="AH42" s="22">
        <v>44.8</v>
      </c>
      <c r="AI42" s="14" t="s">
        <v>283</v>
      </c>
      <c r="AJ42" s="13" t="str">
        <f t="shared" si="14"/>
        <v>강남권</v>
      </c>
      <c r="AK42" s="13" t="str">
        <f t="shared" si="15"/>
        <v>송파</v>
      </c>
      <c r="AL42" s="23"/>
      <c r="AM42" s="24" t="e">
        <f t="shared" si="16"/>
        <v>#VALUE!</v>
      </c>
      <c r="AN42" s="24">
        <f t="shared" si="17"/>
        <v>2</v>
      </c>
      <c r="AO42" s="24">
        <f t="shared" si="18"/>
        <v>2</v>
      </c>
      <c r="AP42" s="24">
        <f t="shared" si="19"/>
        <v>4</v>
      </c>
      <c r="AQ42" s="23">
        <v>3</v>
      </c>
      <c r="AR42" s="23">
        <v>3</v>
      </c>
      <c r="AS42" s="24" t="e">
        <f>IF(B42="","",ROUND(AN42*Assumptions!$B$3+AO42*Assumptions!$B$4+AM42*Assumptions!$B$5+AP42*Assumptions!$B$6+AQ42*Assumptions!$B$7+AR42*Assumptions!$B$8,2))</f>
        <v>#VALUE!</v>
      </c>
      <c r="AT42" s="25" t="e">
        <f t="shared" si="20"/>
        <v>#VALUE!</v>
      </c>
      <c r="AU42" s="25" t="str">
        <f t="shared" si="21"/>
        <v>~2.5억</v>
      </c>
      <c r="AV42" s="23"/>
    </row>
    <row r="43" spans="1:48">
      <c r="A43" s="14">
        <v>55</v>
      </c>
      <c r="B43" s="14" t="s">
        <v>284</v>
      </c>
      <c r="C43" s="14" t="s">
        <v>268</v>
      </c>
      <c r="D43" s="14" t="s">
        <v>285</v>
      </c>
      <c r="E43" s="14" t="s">
        <v>86</v>
      </c>
      <c r="F43" s="14" t="s">
        <v>87</v>
      </c>
      <c r="G43" s="15" t="s">
        <v>166</v>
      </c>
      <c r="H43" s="14" t="s">
        <v>364</v>
      </c>
      <c r="I43" s="14">
        <v>80</v>
      </c>
      <c r="J43" s="14">
        <v>2</v>
      </c>
      <c r="K43" s="14" t="s">
        <v>365</v>
      </c>
      <c r="L43" s="16">
        <v>120000</v>
      </c>
      <c r="M43" s="16">
        <v>120000</v>
      </c>
      <c r="N43" s="17">
        <v>120000</v>
      </c>
      <c r="O43" s="16">
        <v>300</v>
      </c>
      <c r="P43" s="16">
        <v>650</v>
      </c>
      <c r="Q43" s="16">
        <v>11000000</v>
      </c>
      <c r="R43" s="16" t="s">
        <v>357</v>
      </c>
      <c r="S43" s="16" t="s">
        <v>357</v>
      </c>
      <c r="T43" s="16" t="s">
        <v>357</v>
      </c>
      <c r="U43" s="16"/>
      <c r="V43" s="18" t="str">
        <f t="shared" si="11"/>
        <v>-</v>
      </c>
      <c r="W43" s="19" t="s">
        <v>286</v>
      </c>
      <c r="X43" s="17" t="s">
        <v>93</v>
      </c>
      <c r="Y43" s="19" t="s">
        <v>287</v>
      </c>
      <c r="Z43" s="17" t="s">
        <v>95</v>
      </c>
      <c r="AA43" s="17"/>
      <c r="AB43" s="17"/>
      <c r="AC43" s="20" t="e">
        <f t="shared" si="12"/>
        <v>#VALUE!</v>
      </c>
      <c r="AD43" s="21">
        <f t="shared" si="13"/>
        <v>21</v>
      </c>
      <c r="AE43" s="19"/>
      <c r="AF43" s="17" t="s">
        <v>286</v>
      </c>
      <c r="AG43" s="22">
        <v>69.2</v>
      </c>
      <c r="AH43" s="22">
        <v>44.8</v>
      </c>
      <c r="AI43" s="14" t="s">
        <v>288</v>
      </c>
      <c r="AJ43" s="13" t="str">
        <f t="shared" si="14"/>
        <v>강남권</v>
      </c>
      <c r="AK43" s="13" t="str">
        <f t="shared" si="15"/>
        <v>송파</v>
      </c>
      <c r="AL43" s="23"/>
      <c r="AM43" s="24" t="e">
        <f t="shared" si="16"/>
        <v>#VALUE!</v>
      </c>
      <c r="AN43" s="24">
        <f t="shared" si="17"/>
        <v>2</v>
      </c>
      <c r="AO43" s="24">
        <f t="shared" si="18"/>
        <v>2</v>
      </c>
      <c r="AP43" s="24">
        <f t="shared" si="19"/>
        <v>4</v>
      </c>
      <c r="AQ43" s="23">
        <v>3</v>
      </c>
      <c r="AR43" s="23">
        <v>3</v>
      </c>
      <c r="AS43" s="24" t="e">
        <f>IF(B43="","",ROUND(AN43*Assumptions!$B$3+AO43*Assumptions!$B$4+AM43*Assumptions!$B$5+AP43*Assumptions!$B$6+AQ43*Assumptions!$B$7+AR43*Assumptions!$B$8,2))</f>
        <v>#VALUE!</v>
      </c>
      <c r="AT43" s="25" t="e">
        <f t="shared" si="20"/>
        <v>#VALUE!</v>
      </c>
      <c r="AU43" s="25" t="str">
        <f t="shared" si="21"/>
        <v>~2.5억</v>
      </c>
      <c r="AV43" s="23"/>
    </row>
    <row r="44" spans="1:48">
      <c r="A44" s="14">
        <v>56</v>
      </c>
      <c r="B44" s="14" t="s">
        <v>289</v>
      </c>
      <c r="C44" s="14" t="s">
        <v>268</v>
      </c>
      <c r="D44" s="14" t="s">
        <v>290</v>
      </c>
      <c r="E44" s="14" t="s">
        <v>86</v>
      </c>
      <c r="F44" s="14" t="s">
        <v>87</v>
      </c>
      <c r="G44" s="15" t="s">
        <v>166</v>
      </c>
      <c r="H44" s="14" t="s">
        <v>364</v>
      </c>
      <c r="I44" s="14">
        <v>80</v>
      </c>
      <c r="J44" s="14">
        <v>2</v>
      </c>
      <c r="K44" s="14" t="s">
        <v>365</v>
      </c>
      <c r="L44" s="16">
        <v>87000</v>
      </c>
      <c r="M44" s="16">
        <v>87000</v>
      </c>
      <c r="N44" s="17">
        <v>87000</v>
      </c>
      <c r="O44" s="16">
        <v>300</v>
      </c>
      <c r="P44" s="16">
        <v>650</v>
      </c>
      <c r="Q44" s="16">
        <v>9500000</v>
      </c>
      <c r="R44" s="16" t="s">
        <v>357</v>
      </c>
      <c r="S44" s="16" t="s">
        <v>357</v>
      </c>
      <c r="T44" s="16" t="s">
        <v>357</v>
      </c>
      <c r="U44" s="16"/>
      <c r="V44" s="18" t="str">
        <f t="shared" si="11"/>
        <v>-</v>
      </c>
      <c r="W44" s="19" t="s">
        <v>291</v>
      </c>
      <c r="X44" s="17" t="s">
        <v>93</v>
      </c>
      <c r="Y44" s="19" t="s">
        <v>292</v>
      </c>
      <c r="Z44" s="17"/>
      <c r="AA44" s="17"/>
      <c r="AB44" s="17"/>
      <c r="AC44" s="20" t="e">
        <f t="shared" si="12"/>
        <v>#VALUE!</v>
      </c>
      <c r="AD44" s="21">
        <f t="shared" si="13"/>
        <v>19</v>
      </c>
      <c r="AE44" s="19"/>
      <c r="AF44" s="17" t="s">
        <v>291</v>
      </c>
      <c r="AG44" s="22">
        <v>66.8</v>
      </c>
      <c r="AH44" s="22">
        <v>45.6</v>
      </c>
      <c r="AI44" s="14" t="s">
        <v>143</v>
      </c>
      <c r="AJ44" s="13" t="str">
        <f t="shared" si="14"/>
        <v>강남권</v>
      </c>
      <c r="AK44" s="13" t="str">
        <f t="shared" si="15"/>
        <v>송파</v>
      </c>
      <c r="AL44" s="23"/>
      <c r="AM44" s="24" t="e">
        <f t="shared" si="16"/>
        <v>#VALUE!</v>
      </c>
      <c r="AN44" s="24">
        <f t="shared" si="17"/>
        <v>3</v>
      </c>
      <c r="AO44" s="24">
        <f t="shared" si="18"/>
        <v>2</v>
      </c>
      <c r="AP44" s="24">
        <f t="shared" si="19"/>
        <v>4</v>
      </c>
      <c r="AQ44" s="23">
        <v>3</v>
      </c>
      <c r="AR44" s="23">
        <v>3</v>
      </c>
      <c r="AS44" s="24" t="e">
        <f>IF(B44="","",ROUND(AN44*Assumptions!$B$3+AO44*Assumptions!$B$4+AM44*Assumptions!$B$5+AP44*Assumptions!$B$6+AQ44*Assumptions!$B$7+AR44*Assumptions!$B$8,2))</f>
        <v>#VALUE!</v>
      </c>
      <c r="AT44" s="25" t="e">
        <f t="shared" si="20"/>
        <v>#VALUE!</v>
      </c>
      <c r="AU44" s="25" t="str">
        <f t="shared" si="21"/>
        <v>~2.5억</v>
      </c>
      <c r="AV44" s="23"/>
    </row>
    <row r="45" spans="1:48">
      <c r="A45" s="14">
        <v>57</v>
      </c>
      <c r="B45" s="14" t="s">
        <v>293</v>
      </c>
      <c r="C45" s="14" t="s">
        <v>294</v>
      </c>
      <c r="D45" s="14" t="s">
        <v>295</v>
      </c>
      <c r="E45" s="14" t="s">
        <v>86</v>
      </c>
      <c r="F45" s="14" t="s">
        <v>87</v>
      </c>
      <c r="G45" s="15" t="s">
        <v>88</v>
      </c>
      <c r="H45" s="14" t="s">
        <v>364</v>
      </c>
      <c r="I45" s="14">
        <v>90</v>
      </c>
      <c r="J45" s="14">
        <v>1</v>
      </c>
      <c r="K45" s="14" t="s">
        <v>365</v>
      </c>
      <c r="L45" s="16">
        <v>107700</v>
      </c>
      <c r="M45" s="16">
        <v>107700</v>
      </c>
      <c r="N45" s="17">
        <v>107700</v>
      </c>
      <c r="O45" s="16">
        <v>300</v>
      </c>
      <c r="P45" s="16">
        <v>600</v>
      </c>
      <c r="Q45" s="16">
        <v>10000000</v>
      </c>
      <c r="R45" s="16" t="s">
        <v>357</v>
      </c>
      <c r="S45" s="16" t="s">
        <v>357</v>
      </c>
      <c r="T45" s="16" t="s">
        <v>357</v>
      </c>
      <c r="U45" s="16"/>
      <c r="V45" s="18" t="str">
        <f t="shared" si="11"/>
        <v>-</v>
      </c>
      <c r="W45" s="19"/>
      <c r="X45" s="17" t="s">
        <v>100</v>
      </c>
      <c r="Y45" s="19" t="s">
        <v>296</v>
      </c>
      <c r="Z45" s="17"/>
      <c r="AA45" s="17"/>
      <c r="AB45" s="17"/>
      <c r="AC45" s="20" t="e">
        <f t="shared" si="12"/>
        <v>#VALUE!</v>
      </c>
      <c r="AD45" s="21">
        <f t="shared" si="13"/>
        <v>17</v>
      </c>
      <c r="AE45" s="19"/>
      <c r="AF45" s="17"/>
      <c r="AG45" s="22">
        <v>72.8</v>
      </c>
      <c r="AH45" s="22">
        <v>48.8</v>
      </c>
      <c r="AI45" s="14" t="s">
        <v>207</v>
      </c>
      <c r="AJ45" s="13" t="str">
        <f t="shared" si="14"/>
        <v>비강남권</v>
      </c>
      <c r="AK45" s="13" t="str">
        <f t="shared" si="15"/>
        <v>기타</v>
      </c>
      <c r="AL45" s="23"/>
      <c r="AM45" s="24" t="e">
        <f t="shared" si="16"/>
        <v>#VALUE!</v>
      </c>
      <c r="AN45" s="24">
        <f t="shared" si="17"/>
        <v>2</v>
      </c>
      <c r="AO45" s="24">
        <f t="shared" si="18"/>
        <v>2</v>
      </c>
      <c r="AP45" s="24">
        <f t="shared" si="19"/>
        <v>1</v>
      </c>
      <c r="AQ45" s="23">
        <v>3</v>
      </c>
      <c r="AR45" s="23">
        <v>3</v>
      </c>
      <c r="AS45" s="24" t="e">
        <f>IF(B45="","",ROUND(AN45*Assumptions!$B$3+AO45*Assumptions!$B$4+AM45*Assumptions!$B$5+AP45*Assumptions!$B$6+AQ45*Assumptions!$B$7+AR45*Assumptions!$B$8,2))</f>
        <v>#VALUE!</v>
      </c>
      <c r="AT45" s="25" t="e">
        <f t="shared" si="20"/>
        <v>#VALUE!</v>
      </c>
      <c r="AU45" s="25" t="str">
        <f t="shared" si="21"/>
        <v>~2.5억</v>
      </c>
      <c r="AV45" s="23"/>
    </row>
    <row r="46" spans="1:48">
      <c r="A46" s="14">
        <v>60</v>
      </c>
      <c r="B46" s="14" t="s">
        <v>299</v>
      </c>
      <c r="C46" s="14" t="s">
        <v>132</v>
      </c>
      <c r="D46" s="14" t="s">
        <v>133</v>
      </c>
      <c r="E46" s="14" t="s">
        <v>86</v>
      </c>
      <c r="F46" s="14" t="s">
        <v>87</v>
      </c>
      <c r="G46" s="15" t="s">
        <v>88</v>
      </c>
      <c r="H46" s="14" t="s">
        <v>364</v>
      </c>
      <c r="I46" s="14">
        <v>80</v>
      </c>
      <c r="J46" s="14">
        <v>1</v>
      </c>
      <c r="K46" s="14" t="s">
        <v>360</v>
      </c>
      <c r="L46" s="16">
        <v>95000</v>
      </c>
      <c r="M46" s="16">
        <v>95000</v>
      </c>
      <c r="N46" s="17">
        <v>95000</v>
      </c>
      <c r="O46" s="16">
        <v>250</v>
      </c>
      <c r="P46" s="16">
        <v>700</v>
      </c>
      <c r="Q46" s="16">
        <v>9500000</v>
      </c>
      <c r="R46" s="16" t="s">
        <v>357</v>
      </c>
      <c r="S46" s="16" t="s">
        <v>357</v>
      </c>
      <c r="T46" s="16" t="s">
        <v>357</v>
      </c>
      <c r="U46" s="16"/>
      <c r="V46" s="18" t="str">
        <f t="shared" si="11"/>
        <v>-</v>
      </c>
      <c r="W46" s="19" t="s">
        <v>134</v>
      </c>
      <c r="X46" s="17" t="s">
        <v>93</v>
      </c>
      <c r="Y46" s="19" t="s">
        <v>135</v>
      </c>
      <c r="Z46" s="17" t="s">
        <v>95</v>
      </c>
      <c r="AA46" s="17"/>
      <c r="AB46" s="17"/>
      <c r="AC46" s="20" t="e">
        <f t="shared" si="12"/>
        <v>#VALUE!</v>
      </c>
      <c r="AD46" s="21">
        <f t="shared" si="13"/>
        <v>21</v>
      </c>
      <c r="AE46" s="19"/>
      <c r="AF46" s="17" t="s">
        <v>134</v>
      </c>
      <c r="AG46" s="22">
        <v>66.599999999999994</v>
      </c>
      <c r="AH46" s="22">
        <v>56.8</v>
      </c>
      <c r="AI46" s="14" t="s">
        <v>300</v>
      </c>
      <c r="AJ46" s="13" t="str">
        <f t="shared" si="14"/>
        <v>비강남권</v>
      </c>
      <c r="AK46" s="13" t="str">
        <f t="shared" si="15"/>
        <v>기타</v>
      </c>
      <c r="AL46" s="23"/>
      <c r="AM46" s="24" t="e">
        <f t="shared" si="16"/>
        <v>#VALUE!</v>
      </c>
      <c r="AN46" s="24">
        <f t="shared" si="17"/>
        <v>3</v>
      </c>
      <c r="AO46" s="24">
        <f t="shared" si="18"/>
        <v>3</v>
      </c>
      <c r="AP46" s="24">
        <f t="shared" si="19"/>
        <v>4</v>
      </c>
      <c r="AQ46" s="23">
        <v>3</v>
      </c>
      <c r="AR46" s="23">
        <v>3</v>
      </c>
      <c r="AS46" s="24" t="e">
        <f>IF(B46="","",ROUND(AN46*Assumptions!$B$3+AO46*Assumptions!$B$4+AM46*Assumptions!$B$5+AP46*Assumptions!$B$6+AQ46*Assumptions!$B$7+AR46*Assumptions!$B$8,2))</f>
        <v>#VALUE!</v>
      </c>
      <c r="AT46" s="25" t="e">
        <f t="shared" si="20"/>
        <v>#VALUE!</v>
      </c>
      <c r="AU46" s="25" t="str">
        <f t="shared" si="21"/>
        <v>~2.5억</v>
      </c>
      <c r="AV46" s="23"/>
    </row>
    <row r="47" spans="1:48">
      <c r="A47" s="14">
        <v>61</v>
      </c>
      <c r="B47" s="14" t="s">
        <v>381</v>
      </c>
      <c r="C47" s="14" t="s">
        <v>382</v>
      </c>
      <c r="D47" s="14" t="s">
        <v>383</v>
      </c>
      <c r="E47" s="14" t="s">
        <v>384</v>
      </c>
      <c r="F47" s="14" t="s">
        <v>87</v>
      </c>
      <c r="G47" s="15" t="s">
        <v>166</v>
      </c>
      <c r="H47" s="14" t="s">
        <v>364</v>
      </c>
      <c r="I47" s="14">
        <v>80</v>
      </c>
      <c r="J47" s="14">
        <v>1</v>
      </c>
      <c r="K47" s="14" t="s">
        <v>365</v>
      </c>
      <c r="L47" s="16">
        <v>90000</v>
      </c>
      <c r="M47" s="16">
        <v>95000</v>
      </c>
      <c r="N47" s="17">
        <v>95000</v>
      </c>
      <c r="O47" s="16">
        <v>240</v>
      </c>
      <c r="P47" s="16">
        <v>500</v>
      </c>
      <c r="Q47" s="16">
        <v>10500000</v>
      </c>
      <c r="R47" s="16" t="s">
        <v>357</v>
      </c>
      <c r="S47" s="16" t="s">
        <v>357</v>
      </c>
      <c r="T47" s="16" t="s">
        <v>357</v>
      </c>
      <c r="U47" s="16"/>
      <c r="V47" s="18" t="str">
        <f t="shared" ref="V47" si="33">IF(AND(T47="",AB47&gt;0),ROUND(AB47*10%,-4),T47)</f>
        <v>-</v>
      </c>
      <c r="W47" s="26" t="s">
        <v>385</v>
      </c>
      <c r="X47" s="17" t="s">
        <v>93</v>
      </c>
      <c r="Y47" s="26" t="s">
        <v>386</v>
      </c>
      <c r="Z47" s="17" t="s">
        <v>95</v>
      </c>
      <c r="AA47" s="17"/>
      <c r="AB47" s="17"/>
      <c r="AC47" s="20" t="e">
        <f t="shared" ref="AC47" si="34">IF(AND(L47&gt;0,N47&gt;0),L47*N47+IF(P47="",0,P47)+IF(Q47="",0,Q47)+IF(S47="",0,S47),"")</f>
        <v>#VALUE!</v>
      </c>
      <c r="AD47" s="21"/>
      <c r="AE47" s="19"/>
      <c r="AF47" s="17"/>
      <c r="AG47" s="22"/>
      <c r="AH47" s="22"/>
      <c r="AI47" s="14"/>
      <c r="AJ47" s="13" t="str">
        <f t="shared" ref="AJ47" si="35">IF(OR(C47="강남구",C47="서초구",C47="송파구"),"강남권","비강남권")</f>
        <v>비강남권</v>
      </c>
      <c r="AK47" s="13" t="str">
        <f t="shared" ref="AK47" si="36">IF(C47="강남구","강남",IF(C47="서초구","서초",IF(C47="송파구","송파",IF(C47="영등포구","영등포",IF(C47="마포구","마포","기타")))))</f>
        <v>기타</v>
      </c>
      <c r="AL47" s="23"/>
      <c r="AM47" s="24" t="e">
        <f t="shared" ref="AM47" si="37">IF(B47="","",MIN(5,IF(ISNUMBER(SEARCH("역",AC47)),4,IF(AC47&lt;&gt;"",3,2))+IF(Z47&lt;&gt;"",1,0)))</f>
        <v>#VALUE!</v>
      </c>
      <c r="AN47" s="24"/>
      <c r="AO47" s="24"/>
      <c r="AP47" s="24"/>
      <c r="AQ47" s="23"/>
      <c r="AR47" s="23"/>
      <c r="AS47" s="24" t="e">
        <f>IF(B47="","",ROUND(AN47*Assumptions!$B$3+AO47*Assumptions!$B$4+AM47*Assumptions!$B$5+AP47*Assumptions!$B$6+AQ47*Assumptions!$B$7+AR47*Assumptions!$B$8,2))</f>
        <v>#VALUE!</v>
      </c>
      <c r="AT47" s="25" t="e">
        <f t="shared" ref="AT47" si="38">IF(AS47="","",IF(AS47&gt;=4.2,"A",IF(AS47&gt;=3.4,"B","C")))</f>
        <v>#VALUE!</v>
      </c>
      <c r="AU47" s="25" t="str">
        <f t="shared" ref="AU47" si="39">IF(AD47="","",IF(AD47&lt;=25000000,"~2.5억",IF(AD47&lt;=35000000,"2.5~3.5억",IF(AD47&lt;=50000000,"3.5~5억","5억+"))))</f>
        <v/>
      </c>
      <c r="AV47" s="23"/>
    </row>
  </sheetData>
  <autoFilter ref="A1:AH46" xr:uid="{00000000-0009-0000-0000-000002000000}"/>
  <phoneticPr fontId="8" type="noConversion"/>
  <conditionalFormatting sqref="AS2:AS47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disablePrompts="1" count="1">
    <dataValidation type="list" allowBlank="1" sqref="G2:G47" xr:uid="{00000000-0002-0000-0200-000000000000}">
      <formula1>"밝은홀,어두운홀,혼합"</formula1>
    </dataValidation>
  </dataValidations>
  <hyperlinks>
    <hyperlink ref="W26" r:id="rId1" xr:uid="{21FFE36A-8236-A841-AE6B-6E427A4848F8}"/>
    <hyperlink ref="W47" r:id="rId2" xr:uid="{28C2D475-3E5D-A749-AF2F-B0975FB6D7E9}"/>
    <hyperlink ref="Y47" r:id="rId3" xr:uid="{DCFB40F5-CF7E-A842-9F53-C65AFBD607AC}"/>
  </hyperlinks>
  <pageMargins left="0.75" right="0.75" top="1" bottom="1" header="0.5" footer="0.5"/>
  <pageSetup paperSize="9" orientation="portrait" horizontalDpi="0" verticalDpi="0"/>
  <legacy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1"/>
  <sheetViews>
    <sheetView showGridLines="0" workbookViewId="0"/>
  </sheetViews>
  <sheetFormatPr baseColWidth="10" defaultColWidth="8.83203125" defaultRowHeight="17"/>
  <cols>
    <col min="1" max="1" width="8" customWidth="1"/>
    <col min="2" max="2" width="22" customWidth="1"/>
    <col min="3" max="3" width="10" customWidth="1"/>
    <col min="4" max="4" width="12" customWidth="1"/>
    <col min="5" max="5" width="11" customWidth="1"/>
    <col min="6" max="8" width="12" customWidth="1"/>
    <col min="9" max="9" width="16" customWidth="1"/>
    <col min="10" max="12" width="24" customWidth="1"/>
  </cols>
  <sheetData>
    <row r="1" spans="1:12" ht="36">
      <c r="A1" s="5" t="s">
        <v>301</v>
      </c>
      <c r="B1" s="5" t="s">
        <v>37</v>
      </c>
      <c r="C1" s="5" t="s">
        <v>38</v>
      </c>
      <c r="D1" s="5" t="s">
        <v>302</v>
      </c>
      <c r="E1" s="5" t="s">
        <v>303</v>
      </c>
      <c r="F1" s="5" t="s">
        <v>304</v>
      </c>
      <c r="G1" s="5" t="s">
        <v>305</v>
      </c>
      <c r="H1" s="5" t="s">
        <v>306</v>
      </c>
      <c r="I1" s="5" t="s">
        <v>307</v>
      </c>
      <c r="J1" s="5" t="s">
        <v>57</v>
      </c>
      <c r="K1" s="5" t="s">
        <v>59</v>
      </c>
      <c r="L1" s="5" t="s">
        <v>308</v>
      </c>
    </row>
    <row r="2" spans="1:12">
      <c r="A2" s="3"/>
      <c r="B2" s="3"/>
      <c r="C2" s="3"/>
      <c r="D2" s="3"/>
      <c r="E2" s="3"/>
      <c r="F2" s="3"/>
      <c r="G2" s="3"/>
      <c r="H2" s="3"/>
      <c r="I2" s="3" t="str">
        <f t="shared" ref="I2:I21" si="0">IF(AND(D2&gt;0,E2&gt;0),D2*E2+IF(F2="",0,F2),"")</f>
        <v/>
      </c>
      <c r="J2" s="3"/>
      <c r="K2" s="3"/>
      <c r="L2" s="3"/>
    </row>
    <row r="3" spans="1:12">
      <c r="A3" s="3"/>
      <c r="B3" s="3"/>
      <c r="C3" s="3"/>
      <c r="D3" s="3"/>
      <c r="E3" s="3"/>
      <c r="F3" s="3"/>
      <c r="G3" s="3"/>
      <c r="H3" s="3"/>
      <c r="I3" s="3" t="str">
        <f t="shared" si="0"/>
        <v/>
      </c>
      <c r="J3" s="3"/>
      <c r="K3" s="3"/>
      <c r="L3" s="3"/>
    </row>
    <row r="4" spans="1:12">
      <c r="A4" s="3"/>
      <c r="B4" s="3"/>
      <c r="C4" s="3"/>
      <c r="D4" s="3"/>
      <c r="E4" s="3"/>
      <c r="F4" s="3"/>
      <c r="G4" s="3"/>
      <c r="H4" s="3"/>
      <c r="I4" s="3" t="str">
        <f t="shared" si="0"/>
        <v/>
      </c>
      <c r="J4" s="3"/>
      <c r="K4" s="3"/>
      <c r="L4" s="3"/>
    </row>
    <row r="5" spans="1:12">
      <c r="A5" s="3"/>
      <c r="B5" s="3"/>
      <c r="C5" s="3"/>
      <c r="D5" s="3"/>
      <c r="E5" s="3"/>
      <c r="F5" s="3"/>
      <c r="G5" s="3"/>
      <c r="H5" s="3"/>
      <c r="I5" s="3" t="str">
        <f t="shared" si="0"/>
        <v/>
      </c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 t="str">
        <f t="shared" si="0"/>
        <v/>
      </c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 t="str">
        <f t="shared" si="0"/>
        <v/>
      </c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 t="str">
        <f t="shared" si="0"/>
        <v/>
      </c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 t="str">
        <f t="shared" si="0"/>
        <v/>
      </c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 t="str">
        <f t="shared" si="0"/>
        <v/>
      </c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 t="str">
        <f t="shared" si="0"/>
        <v/>
      </c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 t="str">
        <f t="shared" si="0"/>
        <v/>
      </c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 t="str">
        <f t="shared" si="0"/>
        <v/>
      </c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 t="str">
        <f t="shared" si="0"/>
        <v/>
      </c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 t="str">
        <f t="shared" si="0"/>
        <v/>
      </c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 t="str">
        <f t="shared" si="0"/>
        <v/>
      </c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 t="str">
        <f t="shared" si="0"/>
        <v/>
      </c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 t="str">
        <f t="shared" si="0"/>
        <v/>
      </c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 t="str">
        <f t="shared" si="0"/>
        <v/>
      </c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 t="str">
        <f t="shared" si="0"/>
        <v/>
      </c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 t="str">
        <f t="shared" si="0"/>
        <v/>
      </c>
      <c r="J21" s="3"/>
      <c r="K21" s="3"/>
      <c r="L21" s="3"/>
    </row>
  </sheetData>
  <phoneticPr fontId="8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66"/>
  <sheetViews>
    <sheetView showGridLines="0" workbookViewId="0">
      <selection sqref="A1:J1"/>
    </sheetView>
  </sheetViews>
  <sheetFormatPr baseColWidth="10" defaultColWidth="8.83203125" defaultRowHeight="17"/>
  <cols>
    <col min="1" max="1" width="24" customWidth="1"/>
    <col min="2" max="3" width="8" customWidth="1"/>
    <col min="4" max="5" width="12" customWidth="1"/>
    <col min="6" max="6" width="18" customWidth="1"/>
    <col min="7" max="10" width="8" customWidth="1"/>
  </cols>
  <sheetData>
    <row r="1" spans="1:10" ht="23">
      <c r="A1" s="27" t="s">
        <v>309</v>
      </c>
      <c r="B1" s="28"/>
      <c r="C1" s="28"/>
      <c r="D1" s="28"/>
      <c r="E1" s="28"/>
      <c r="F1" s="28"/>
      <c r="G1" s="28"/>
      <c r="H1" s="28"/>
      <c r="I1" s="28"/>
      <c r="J1" s="28"/>
    </row>
    <row r="3" spans="1:10">
      <c r="A3" t="s">
        <v>310</v>
      </c>
    </row>
    <row r="4" spans="1:10">
      <c r="A4" t="s">
        <v>311</v>
      </c>
    </row>
    <row r="6" spans="1:10" ht="18">
      <c r="A6" s="5" t="s">
        <v>312</v>
      </c>
      <c r="B6" s="5" t="s">
        <v>313</v>
      </c>
      <c r="C6" s="5" t="s">
        <v>314</v>
      </c>
      <c r="D6" s="5"/>
      <c r="E6" s="5"/>
      <c r="F6" s="5" t="s">
        <v>315</v>
      </c>
      <c r="G6" s="5" t="s">
        <v>313</v>
      </c>
      <c r="H6" s="5" t="s">
        <v>314</v>
      </c>
      <c r="I6" s="5"/>
      <c r="J6" s="5"/>
    </row>
    <row r="7" spans="1:10">
      <c r="A7" t="str">
        <f>Master_60!B2</f>
        <v>아펠가모 광화문</v>
      </c>
      <c r="B7" t="str">
        <f>Master_60!AF2</f>
        <v>https://apelgamo.com/home/wedding3</v>
      </c>
      <c r="C7">
        <f>Master_60!AG2</f>
        <v>53.8</v>
      </c>
      <c r="D7" t="str">
        <f>Master_60!C2</f>
        <v>종로구</v>
      </c>
      <c r="F7" t="s">
        <v>316</v>
      </c>
      <c r="G7">
        <v>44</v>
      </c>
      <c r="H7">
        <v>68</v>
      </c>
    </row>
    <row r="8" spans="1:10">
      <c r="A8" t="str">
        <f>Master_60!B3</f>
        <v>HW컨벤션센터</v>
      </c>
      <c r="B8">
        <f>Master_60!AF3</f>
        <v>0</v>
      </c>
      <c r="C8">
        <f>Master_60!AG3</f>
        <v>54.6</v>
      </c>
      <c r="D8" t="str">
        <f>Master_60!C3</f>
        <v>종로구</v>
      </c>
      <c r="F8" t="s">
        <v>317</v>
      </c>
      <c r="G8">
        <v>55</v>
      </c>
      <c r="H8">
        <v>63</v>
      </c>
    </row>
    <row r="9" spans="1:10">
      <c r="A9" t="e">
        <f>Master_60!#REF!</f>
        <v>#REF!</v>
      </c>
      <c r="B9" t="e">
        <f>Master_60!#REF!</f>
        <v>#REF!</v>
      </c>
      <c r="C9" t="e">
        <f>Master_60!#REF!</f>
        <v>#REF!</v>
      </c>
      <c r="D9" t="e">
        <f>Master_60!#REF!</f>
        <v>#REF!</v>
      </c>
      <c r="F9" t="s">
        <v>318</v>
      </c>
      <c r="G9">
        <v>58</v>
      </c>
      <c r="H9">
        <v>71</v>
      </c>
    </row>
    <row r="10" spans="1:10">
      <c r="A10" t="e">
        <f>Master_60!#REF!</f>
        <v>#REF!</v>
      </c>
      <c r="B10" t="e">
        <f>Master_60!#REF!</f>
        <v>#REF!</v>
      </c>
      <c r="C10" t="e">
        <f>Master_60!#REF!</f>
        <v>#REF!</v>
      </c>
      <c r="D10" t="e">
        <f>Master_60!#REF!</f>
        <v>#REF!</v>
      </c>
      <c r="F10" t="s">
        <v>319</v>
      </c>
      <c r="G10">
        <v>45</v>
      </c>
      <c r="H10">
        <v>58</v>
      </c>
    </row>
    <row r="11" spans="1:10">
      <c r="A11" t="str">
        <f>Master_60!B4</f>
        <v>성균관컨벤션웨딩홀</v>
      </c>
      <c r="B11">
        <f>Master_60!AF4</f>
        <v>0</v>
      </c>
      <c r="C11">
        <f>Master_60!AG4</f>
        <v>53.8</v>
      </c>
      <c r="D11" t="str">
        <f>Master_60!C4</f>
        <v>종로구</v>
      </c>
      <c r="F11" t="s">
        <v>320</v>
      </c>
      <c r="G11">
        <v>52</v>
      </c>
      <c r="H11">
        <v>56</v>
      </c>
    </row>
    <row r="12" spans="1:10">
      <c r="A12" t="str">
        <f>Master_60!B5</f>
        <v>SW컨벤션센터</v>
      </c>
      <c r="B12">
        <f>Master_60!AF5</f>
        <v>0</v>
      </c>
      <c r="C12">
        <f>Master_60!AG5</f>
        <v>54.6</v>
      </c>
      <c r="D12" t="str">
        <f>Master_60!C5</f>
        <v>종로구</v>
      </c>
      <c r="F12" t="s">
        <v>321</v>
      </c>
      <c r="G12">
        <v>64</v>
      </c>
      <c r="H12">
        <v>58</v>
      </c>
    </row>
    <row r="13" spans="1:10">
      <c r="A13" t="e">
        <f>Master_60!#REF!</f>
        <v>#REF!</v>
      </c>
      <c r="B13" t="e">
        <f>Master_60!#REF!</f>
        <v>#REF!</v>
      </c>
      <c r="C13" t="e">
        <f>Master_60!#REF!</f>
        <v>#REF!</v>
      </c>
      <c r="D13" t="e">
        <f>Master_60!#REF!</f>
        <v>#REF!</v>
      </c>
      <c r="F13" t="s">
        <v>322</v>
      </c>
      <c r="G13">
        <v>40</v>
      </c>
      <c r="H13">
        <v>47</v>
      </c>
    </row>
    <row r="14" spans="1:10">
      <c r="A14" t="str">
        <f>Master_60!B6</f>
        <v>라루체</v>
      </c>
      <c r="B14" t="str">
        <f>Master_60!AF6</f>
        <v>https://www.lalucewedding.co.kr/</v>
      </c>
      <c r="C14">
        <f>Master_60!AG6</f>
        <v>53.8</v>
      </c>
      <c r="D14" t="str">
        <f>Master_60!C6</f>
        <v>중구</v>
      </c>
      <c r="F14" t="s">
        <v>323</v>
      </c>
      <c r="G14">
        <v>52</v>
      </c>
      <c r="H14">
        <v>46</v>
      </c>
    </row>
    <row r="15" spans="1:10">
      <c r="A15" t="e">
        <f>Master_60!#REF!</f>
        <v>#REF!</v>
      </c>
      <c r="B15" t="e">
        <f>Master_60!#REF!</f>
        <v>#REF!</v>
      </c>
      <c r="C15" t="e">
        <f>Master_60!#REF!</f>
        <v>#REF!</v>
      </c>
      <c r="D15" t="e">
        <f>Master_60!#REF!</f>
        <v>#REF!</v>
      </c>
      <c r="F15" t="s">
        <v>324</v>
      </c>
      <c r="G15">
        <v>62</v>
      </c>
      <c r="H15">
        <v>45</v>
      </c>
    </row>
    <row r="16" spans="1:10">
      <c r="A16" t="str">
        <f>Master_60!B7</f>
        <v>루이비스컨벤션</v>
      </c>
      <c r="B16" t="str">
        <f>Master_60!AF7</f>
        <v>https://lvconvention.co.kr/main.html</v>
      </c>
      <c r="C16">
        <f>Master_60!AG7</f>
        <v>55.4</v>
      </c>
      <c r="D16" t="str">
        <f>Master_60!C7</f>
        <v>중구</v>
      </c>
      <c r="F16" t="s">
        <v>325</v>
      </c>
      <c r="G16">
        <v>68</v>
      </c>
      <c r="H16">
        <v>46</v>
      </c>
    </row>
    <row r="17" spans="1:8">
      <c r="A17" t="e">
        <f>Master_60!#REF!</f>
        <v>#REF!</v>
      </c>
      <c r="B17" t="e">
        <f>Master_60!#REF!</f>
        <v>#REF!</v>
      </c>
      <c r="C17" t="e">
        <f>Master_60!#REF!</f>
        <v>#REF!</v>
      </c>
      <c r="D17" t="e">
        <f>Master_60!#REF!</f>
        <v>#REF!</v>
      </c>
      <c r="F17" t="s">
        <v>326</v>
      </c>
      <c r="G17">
        <v>74</v>
      </c>
      <c r="H17">
        <v>50</v>
      </c>
    </row>
    <row r="18" spans="1:8">
      <c r="A18" t="e">
        <f>Master_60!#REF!</f>
        <v>#REF!</v>
      </c>
      <c r="B18" t="e">
        <f>Master_60!#REF!</f>
        <v>#REF!</v>
      </c>
      <c r="C18" t="e">
        <f>Master_60!#REF!</f>
        <v>#REF!</v>
      </c>
      <c r="D18" t="e">
        <f>Master_60!#REF!</f>
        <v>#REF!</v>
      </c>
    </row>
    <row r="19" spans="1:8">
      <c r="A19" t="str">
        <f>Master_60!B8</f>
        <v>틸티드 한남</v>
      </c>
      <c r="B19">
        <f>Master_60!AF8</f>
        <v>0</v>
      </c>
      <c r="C19">
        <f>Master_60!AG8</f>
        <v>52.4</v>
      </c>
      <c r="D19" t="str">
        <f>Master_60!C8</f>
        <v>용산구</v>
      </c>
    </row>
    <row r="20" spans="1:8">
      <c r="A20" t="e">
        <f>Master_60!#REF!</f>
        <v>#REF!</v>
      </c>
      <c r="B20" t="e">
        <f>Master_60!#REF!</f>
        <v>#REF!</v>
      </c>
      <c r="C20" t="e">
        <f>Master_60!#REF!</f>
        <v>#REF!</v>
      </c>
      <c r="D20" t="e">
        <f>Master_60!#REF!</f>
        <v>#REF!</v>
      </c>
    </row>
    <row r="21" spans="1:8">
      <c r="A21" t="e">
        <f>Master_60!#REF!</f>
        <v>#REF!</v>
      </c>
      <c r="B21" t="e">
        <f>Master_60!#REF!</f>
        <v>#REF!</v>
      </c>
      <c r="C21" t="e">
        <f>Master_60!#REF!</f>
        <v>#REF!</v>
      </c>
      <c r="D21" t="e">
        <f>Master_60!#REF!</f>
        <v>#REF!</v>
      </c>
    </row>
    <row r="22" spans="1:8">
      <c r="A22" t="e">
        <f>Master_60!#REF!</f>
        <v>#REF!</v>
      </c>
      <c r="B22" t="e">
        <f>Master_60!#REF!</f>
        <v>#REF!</v>
      </c>
      <c r="C22" t="e">
        <f>Master_60!#REF!</f>
        <v>#REF!</v>
      </c>
      <c r="D22" t="e">
        <f>Master_60!#REF!</f>
        <v>#REF!</v>
      </c>
    </row>
    <row r="23" spans="1:8">
      <c r="A23" t="e">
        <f>Master_60!#REF!</f>
        <v>#REF!</v>
      </c>
      <c r="B23" t="e">
        <f>Master_60!#REF!</f>
        <v>#REF!</v>
      </c>
      <c r="C23" t="e">
        <f>Master_60!#REF!</f>
        <v>#REF!</v>
      </c>
      <c r="D23" t="e">
        <f>Master_60!#REF!</f>
        <v>#REF!</v>
      </c>
    </row>
    <row r="24" spans="1:8">
      <c r="A24" t="str">
        <f>Master_60!B9</f>
        <v>디노체컨벤션웨딩홀</v>
      </c>
      <c r="B24">
        <f>Master_60!AF9</f>
        <v>0</v>
      </c>
      <c r="C24">
        <f>Master_60!AG9</f>
        <v>61.2</v>
      </c>
      <c r="D24" t="str">
        <f>Master_60!C9</f>
        <v>성동구</v>
      </c>
    </row>
    <row r="25" spans="1:8">
      <c r="A25" t="e">
        <f>Master_60!#REF!</f>
        <v>#REF!</v>
      </c>
      <c r="B25" t="e">
        <f>Master_60!#REF!</f>
        <v>#REF!</v>
      </c>
      <c r="C25" t="e">
        <f>Master_60!#REF!</f>
        <v>#REF!</v>
      </c>
      <c r="D25" t="e">
        <f>Master_60!#REF!</f>
        <v>#REF!</v>
      </c>
    </row>
    <row r="26" spans="1:8">
      <c r="A26" t="str">
        <f>Master_60!B10</f>
        <v>스타시티아트홀</v>
      </c>
      <c r="B26" t="str">
        <f>Master_60!AF10</f>
        <v>https://starcityarthall.com/</v>
      </c>
      <c r="C26">
        <f>Master_60!AG10</f>
        <v>65.8</v>
      </c>
      <c r="D26" t="str">
        <f>Master_60!C10</f>
        <v>광진구</v>
      </c>
    </row>
    <row r="27" spans="1:8">
      <c r="A27" t="str">
        <f>Master_60!B11</f>
        <v>벨라루체웨딩홀 서울점</v>
      </c>
      <c r="B27" t="str">
        <f>Master_60!AF11</f>
        <v>https://www.bellaluceseoul.co.kr/</v>
      </c>
      <c r="C27">
        <f>Master_60!AG11</f>
        <v>61.8</v>
      </c>
      <c r="D27" t="str">
        <f>Master_60!C11</f>
        <v>동대문구</v>
      </c>
    </row>
    <row r="28" spans="1:8">
      <c r="A28" t="e">
        <f>Master_60!#REF!</f>
        <v>#REF!</v>
      </c>
      <c r="B28" t="e">
        <f>Master_60!#REF!</f>
        <v>#REF!</v>
      </c>
      <c r="C28" t="e">
        <f>Master_60!#REF!</f>
        <v>#REF!</v>
      </c>
      <c r="D28" t="e">
        <f>Master_60!#REF!</f>
        <v>#REF!</v>
      </c>
    </row>
    <row r="29" spans="1:8">
      <c r="A29" t="str">
        <f>Master_60!B12</f>
        <v>DMC타워웨딩</v>
      </c>
      <c r="B29" t="str">
        <f>Master_60!AF12</f>
        <v>https://www.dmcwedding.co.kr/</v>
      </c>
      <c r="C29">
        <f>Master_60!AG12</f>
        <v>44.6</v>
      </c>
      <c r="D29" t="str">
        <f>Master_60!C12</f>
        <v>마포구</v>
      </c>
    </row>
    <row r="30" spans="1:8">
      <c r="A30" t="str">
        <f>Master_60!B13</f>
        <v>월드컵컨벤션</v>
      </c>
      <c r="B30">
        <f>Master_60!AF13</f>
        <v>0</v>
      </c>
      <c r="C30">
        <f>Master_60!AG13</f>
        <v>45.4</v>
      </c>
      <c r="D30" t="str">
        <f>Master_60!C13</f>
        <v>마포구</v>
      </c>
    </row>
    <row r="31" spans="1:8">
      <c r="A31" t="str">
        <f>Master_60!B14</f>
        <v>더파티움 여의도</v>
      </c>
      <c r="B31">
        <f>Master_60!AF14</f>
        <v>0</v>
      </c>
      <c r="C31">
        <f>Master_60!AG14</f>
        <v>40.799999999999997</v>
      </c>
      <c r="D31" t="str">
        <f>Master_60!C14</f>
        <v>영등포구</v>
      </c>
    </row>
    <row r="32" spans="1:8">
      <c r="A32" t="str">
        <f>Master_60!B15</f>
        <v>JK아트컨벤션</v>
      </c>
      <c r="B32" t="str">
        <f>Master_60!AF15</f>
        <v>https://www.jkart.co.kr/</v>
      </c>
      <c r="C32">
        <f>Master_60!AG15</f>
        <v>41.6</v>
      </c>
      <c r="D32" t="str">
        <f>Master_60!C15</f>
        <v>영등포구</v>
      </c>
    </row>
    <row r="33" spans="1:4">
      <c r="A33" t="str">
        <f>Master_60!B16</f>
        <v>그랜드컨벤션센터</v>
      </c>
      <c r="B33" t="str">
        <f>Master_60!AF16</f>
        <v>https://www.grandconvention.co.kr/</v>
      </c>
      <c r="C33">
        <f>Master_60!AG16</f>
        <v>42.4</v>
      </c>
      <c r="D33" t="str">
        <f>Master_60!C16</f>
        <v>영등포구</v>
      </c>
    </row>
    <row r="34" spans="1:4">
      <c r="A34" t="str">
        <f>Master_60!B17</f>
        <v>더컨벤션 영등포</v>
      </c>
      <c r="B34" t="str">
        <f>Master_60!AF17</f>
        <v>http://theconvention.co.kr/ydp</v>
      </c>
      <c r="C34">
        <f>Master_60!AG17</f>
        <v>43.2</v>
      </c>
      <c r="D34" t="str">
        <f>Master_60!C17</f>
        <v>영등포구</v>
      </c>
    </row>
    <row r="35" spans="1:4">
      <c r="A35" t="str">
        <f>Master_60!B18</f>
        <v>웨딩시티 신도림</v>
      </c>
      <c r="B35" t="str">
        <f>Master_60!AF18</f>
        <v>https://www.tmwedding.co.kr/</v>
      </c>
      <c r="C35">
        <f>Master_60!AG18</f>
        <v>34.799999999999997</v>
      </c>
      <c r="D35" t="str">
        <f>Master_60!C18</f>
        <v>구로구</v>
      </c>
    </row>
    <row r="36" spans="1:4">
      <c r="A36" t="str">
        <f>Master_60!B19</f>
        <v>더세인트</v>
      </c>
      <c r="B36" t="str">
        <f>Master_60!AF19</f>
        <v>https://thesaint.co.kr/</v>
      </c>
      <c r="C36">
        <f>Master_60!AG19</f>
        <v>35.6</v>
      </c>
      <c r="D36" t="str">
        <f>Master_60!C19</f>
        <v>구로구</v>
      </c>
    </row>
    <row r="37" spans="1:4">
      <c r="A37" t="str">
        <f>Master_60!B20</f>
        <v>더뉴컨벤션</v>
      </c>
      <c r="B37">
        <f>Master_60!AF20</f>
        <v>0</v>
      </c>
      <c r="C37">
        <f>Master_60!AG20</f>
        <v>29.8</v>
      </c>
      <c r="D37" t="str">
        <f>Master_60!C20</f>
        <v>강서구</v>
      </c>
    </row>
    <row r="38" spans="1:4">
      <c r="A38" t="str">
        <f>Master_60!B21</f>
        <v>엘타워</v>
      </c>
      <c r="B38" t="str">
        <f>Master_60!AF21</f>
        <v>https://eltower.co.kr/</v>
      </c>
      <c r="C38">
        <f>Master_60!AG21</f>
        <v>54.8</v>
      </c>
      <c r="D38" t="str">
        <f>Master_60!C21</f>
        <v>서초구</v>
      </c>
    </row>
    <row r="39" spans="1:4">
      <c r="A39" t="str">
        <f>Master_60!B22</f>
        <v>더화이트베일</v>
      </c>
      <c r="B39" t="str">
        <f>Master_60!AF22</f>
        <v>https://thewhiteveil.co.kr/</v>
      </c>
      <c r="C39">
        <f>Master_60!AG22</f>
        <v>55.6</v>
      </c>
      <c r="D39" t="str">
        <f>Master_60!C22</f>
        <v>서초구</v>
      </c>
    </row>
    <row r="40" spans="1:4">
      <c r="A40" t="str">
        <f>Master_60!B23</f>
        <v>아펠가모 반포</v>
      </c>
      <c r="B40" t="str">
        <f>Master_60!AF23</f>
        <v>https://apelgamo.com/home/wedding2</v>
      </c>
      <c r="C40">
        <f>Master_60!AG23</f>
        <v>56.4</v>
      </c>
      <c r="D40" t="str">
        <f>Master_60!C23</f>
        <v>서초구</v>
      </c>
    </row>
    <row r="41" spans="1:4">
      <c r="A41" t="e">
        <f>Master_60!#REF!</f>
        <v>#REF!</v>
      </c>
      <c r="B41" t="e">
        <f>Master_60!#REF!</f>
        <v>#REF!</v>
      </c>
      <c r="C41" t="e">
        <f>Master_60!#REF!</f>
        <v>#REF!</v>
      </c>
      <c r="D41" t="e">
        <f>Master_60!#REF!</f>
        <v>#REF!</v>
      </c>
    </row>
    <row r="42" spans="1:4">
      <c r="A42" t="str">
        <f>Master_60!B24</f>
        <v>노블발렌티 대치</v>
      </c>
      <c r="B42" t="str">
        <f>Master_60!AF24</f>
        <v>https://noblevalentidaechi.co.kr/</v>
      </c>
      <c r="C42">
        <f>Master_60!AG24</f>
        <v>60.8</v>
      </c>
      <c r="D42" t="str">
        <f>Master_60!C24</f>
        <v>강남구</v>
      </c>
    </row>
    <row r="43" spans="1:4">
      <c r="A43" t="str">
        <f>Master_60!B25</f>
        <v>노블발렌티 삼성</v>
      </c>
      <c r="B43" t="str">
        <f>Master_60!AF25</f>
        <v>https://noblevalenti.co.kr/</v>
      </c>
      <c r="C43">
        <f>Master_60!AG25</f>
        <v>61.6</v>
      </c>
      <c r="D43" t="str">
        <f>Master_60!C25</f>
        <v>강남구</v>
      </c>
    </row>
    <row r="44" spans="1:4">
      <c r="A44" t="str">
        <f>Master_60!B26</f>
        <v>빌라드지디 청담</v>
      </c>
      <c r="B44" t="str">
        <f>Master_60!AF26</f>
        <v>https://chungdamvilladegd.com/</v>
      </c>
      <c r="C44">
        <f>Master_60!AG26</f>
        <v>62.4</v>
      </c>
      <c r="D44" t="str">
        <f>Master_60!C26</f>
        <v>강남구</v>
      </c>
    </row>
    <row r="45" spans="1:4">
      <c r="A45" t="str">
        <f>Master_60!B27</f>
        <v>빌라드지디 수서</v>
      </c>
      <c r="B45" t="str">
        <f>Master_60!AF27</f>
        <v>https://suseovilladegd.com/FAQ</v>
      </c>
      <c r="C45">
        <f>Master_60!AG27</f>
        <v>63.2</v>
      </c>
      <c r="D45" t="str">
        <f>Master_60!C27</f>
        <v>강남구</v>
      </c>
    </row>
    <row r="46" spans="1:4">
      <c r="A46" t="str">
        <f>Master_60!B28</f>
        <v>더채플앳청담</v>
      </c>
      <c r="B46" t="str">
        <f>Master_60!AF28</f>
        <v>https://www.thechapel.co.kr/home/wedding1</v>
      </c>
      <c r="C46">
        <f>Master_60!AG28</f>
        <v>60.8</v>
      </c>
      <c r="D46" t="str">
        <f>Master_60!C28</f>
        <v>강남구</v>
      </c>
    </row>
    <row r="47" spans="1:4">
      <c r="A47" t="str">
        <f>Master_60!B29</f>
        <v>상록아트홀</v>
      </c>
      <c r="B47" t="str">
        <f>Master_60!AF29</f>
        <v>https://srwedding.co.kr/</v>
      </c>
      <c r="C47">
        <f>Master_60!AG29</f>
        <v>61.6</v>
      </c>
      <c r="D47" t="str">
        <f>Master_60!C29</f>
        <v>강남구</v>
      </c>
    </row>
    <row r="48" spans="1:4">
      <c r="A48" t="e">
        <f>Master_60!#REF!</f>
        <v>#REF!</v>
      </c>
      <c r="B48" t="e">
        <f>Master_60!#REF!</f>
        <v>#REF!</v>
      </c>
      <c r="C48" t="e">
        <f>Master_60!#REF!</f>
        <v>#REF!</v>
      </c>
      <c r="D48" t="e">
        <f>Master_60!#REF!</f>
        <v>#REF!</v>
      </c>
    </row>
    <row r="49" spans="1:4">
      <c r="A49" t="str">
        <f>Master_60!B30</f>
        <v>라온제나강남</v>
      </c>
      <c r="B49" t="str">
        <f>Master_60!AF30</f>
        <v>https://xn--939ao9fob394buxtzvc.com/</v>
      </c>
      <c r="C49">
        <f>Master_60!AG30</f>
        <v>63.2</v>
      </c>
      <c r="D49" t="str">
        <f>Master_60!C30</f>
        <v>강남구</v>
      </c>
    </row>
    <row r="50" spans="1:4">
      <c r="A50" t="str">
        <f>Master_60!B31</f>
        <v>샐럽앤어셈</v>
      </c>
      <c r="B50">
        <f>Master_60!AF31</f>
        <v>0</v>
      </c>
      <c r="C50">
        <f>Master_60!AG31</f>
        <v>60.8</v>
      </c>
      <c r="D50" t="str">
        <f>Master_60!C31</f>
        <v>강남구</v>
      </c>
    </row>
    <row r="51" spans="1:4">
      <c r="A51" t="str">
        <f>Master_60!B32</f>
        <v>스카이뷰컨벤션</v>
      </c>
      <c r="B51">
        <f>Master_60!AF32</f>
        <v>0</v>
      </c>
      <c r="C51">
        <f>Master_60!AG32</f>
        <v>61.6</v>
      </c>
      <c r="D51" t="str">
        <f>Master_60!C32</f>
        <v>강남구</v>
      </c>
    </row>
    <row r="52" spans="1:4">
      <c r="A52" t="str">
        <f>Master_60!B33</f>
        <v>더라빌</v>
      </c>
      <c r="B52">
        <f>Master_60!AF33</f>
        <v>0</v>
      </c>
      <c r="C52">
        <f>Master_60!AG33</f>
        <v>62.4</v>
      </c>
      <c r="D52" t="str">
        <f>Master_60!C33</f>
        <v>강남구</v>
      </c>
    </row>
    <row r="53" spans="1:4">
      <c r="A53" t="str">
        <f>Master_60!B34</f>
        <v>브라이드밸리</v>
      </c>
      <c r="B53">
        <f>Master_60!AF34</f>
        <v>0</v>
      </c>
      <c r="C53">
        <f>Master_60!AG34</f>
        <v>63.2</v>
      </c>
      <c r="D53" t="str">
        <f>Master_60!C34</f>
        <v>강남구</v>
      </c>
    </row>
    <row r="54" spans="1:4">
      <c r="A54" t="str">
        <f>Master_60!B35</f>
        <v>그랜드힐컨벤션</v>
      </c>
      <c r="B54">
        <f>Master_60!AF35</f>
        <v>0</v>
      </c>
      <c r="C54">
        <f>Master_60!AG35</f>
        <v>60.8</v>
      </c>
      <c r="D54" t="str">
        <f>Master_60!C35</f>
        <v>강남구</v>
      </c>
    </row>
    <row r="55" spans="1:4">
      <c r="A55" t="str">
        <f>Master_60!B36</f>
        <v>더청담</v>
      </c>
      <c r="B55">
        <f>Master_60!AF36</f>
        <v>0</v>
      </c>
      <c r="C55">
        <f>Master_60!AG36</f>
        <v>61.6</v>
      </c>
      <c r="D55" t="str">
        <f>Master_60!C36</f>
        <v>강남구</v>
      </c>
    </row>
    <row r="56" spans="1:4">
      <c r="A56" t="str">
        <f>Master_60!B38</f>
        <v>트라디노이</v>
      </c>
      <c r="B56">
        <f>Master_60!AF38</f>
        <v>0</v>
      </c>
      <c r="C56">
        <f>Master_60!AG38</f>
        <v>62.4</v>
      </c>
      <c r="D56" t="str">
        <f>Master_60!C38</f>
        <v>강남구</v>
      </c>
    </row>
    <row r="57" spans="1:4">
      <c r="A57" t="str">
        <f>Master_60!B39</f>
        <v>소노펠리체 컨벤션</v>
      </c>
      <c r="B57" t="str">
        <f>Master_60!AF39</f>
        <v>https://www.sonofeliceconvention.com/</v>
      </c>
      <c r="C57">
        <f>Master_60!AG39</f>
        <v>63.2</v>
      </c>
      <c r="D57" t="str">
        <f>Master_60!C39</f>
        <v>강남구</v>
      </c>
    </row>
    <row r="58" spans="1:4">
      <c r="A58" t="str">
        <f>Master_60!B40</f>
        <v>아펠가모 잠실</v>
      </c>
      <c r="B58" t="str">
        <f>Master_60!AF40</f>
        <v>https://apelgamo.com/home/wedding1</v>
      </c>
      <c r="C58">
        <f>Master_60!AG40</f>
        <v>66.8</v>
      </c>
      <c r="D58" t="str">
        <f>Master_60!C40</f>
        <v>송파구</v>
      </c>
    </row>
    <row r="59" spans="1:4">
      <c r="A59" t="str">
        <f>Master_60!B41</f>
        <v>서울웨딩타워</v>
      </c>
      <c r="B59" t="str">
        <f>Master_60!AF41</f>
        <v>https://www.swtower.com/</v>
      </c>
      <c r="C59">
        <f>Master_60!AG41</f>
        <v>67.599999999999994</v>
      </c>
      <c r="D59" t="str">
        <f>Master_60!C41</f>
        <v>송파구</v>
      </c>
    </row>
    <row r="60" spans="1:4">
      <c r="A60" t="str">
        <f>Master_60!B42</f>
        <v>더컨벤션 잠실</v>
      </c>
      <c r="B60" t="str">
        <f>Master_60!AF42</f>
        <v>https://theconventionjs.iniwedding.com/</v>
      </c>
      <c r="C60">
        <f>Master_60!AG42</f>
        <v>68.400000000000006</v>
      </c>
      <c r="D60" t="str">
        <f>Master_60!C42</f>
        <v>송파구</v>
      </c>
    </row>
    <row r="61" spans="1:4">
      <c r="A61" t="str">
        <f>Master_60!B43</f>
        <v>더컨벤션 송파문정</v>
      </c>
      <c r="B61" t="str">
        <f>Master_60!AF43</f>
        <v>http://theconvention.co.kr/sp/index.php</v>
      </c>
      <c r="C61">
        <f>Master_60!AG43</f>
        <v>69.2</v>
      </c>
      <c r="D61" t="str">
        <f>Master_60!C43</f>
        <v>송파구</v>
      </c>
    </row>
    <row r="62" spans="1:4">
      <c r="A62" t="str">
        <f>Master_60!B44</f>
        <v>루이비스 문정</v>
      </c>
      <c r="B62" t="str">
        <f>Master_60!AF44</f>
        <v>https://lvwedding.co.kr/new/m/index.html</v>
      </c>
      <c r="C62">
        <f>Master_60!AG44</f>
        <v>66.8</v>
      </c>
      <c r="D62" t="str">
        <f>Master_60!C44</f>
        <v>송파구</v>
      </c>
    </row>
    <row r="63" spans="1:4">
      <c r="A63" t="str">
        <f>Master_60!B45</f>
        <v>루벨</v>
      </c>
      <c r="B63">
        <f>Master_60!AF45</f>
        <v>0</v>
      </c>
      <c r="C63">
        <f>Master_60!AG45</f>
        <v>72.8</v>
      </c>
      <c r="D63" t="str">
        <f>Master_60!C45</f>
        <v>강동구</v>
      </c>
    </row>
    <row r="64" spans="1:4">
      <c r="A64" t="e">
        <f>Master_60!#REF!</f>
        <v>#REF!</v>
      </c>
      <c r="B64" t="e">
        <f>Master_60!#REF!</f>
        <v>#REF!</v>
      </c>
      <c r="C64" t="e">
        <f>Master_60!#REF!</f>
        <v>#REF!</v>
      </c>
      <c r="D64" t="e">
        <f>Master_60!#REF!</f>
        <v>#REF!</v>
      </c>
    </row>
    <row r="65" spans="1:4">
      <c r="A65" t="e">
        <f>Master_60!#REF!</f>
        <v>#REF!</v>
      </c>
      <c r="B65" t="e">
        <f>Master_60!#REF!</f>
        <v>#REF!</v>
      </c>
      <c r="C65" t="e">
        <f>Master_60!#REF!</f>
        <v>#REF!</v>
      </c>
      <c r="D65" t="e">
        <f>Master_60!#REF!</f>
        <v>#REF!</v>
      </c>
    </row>
    <row r="66" spans="1:4">
      <c r="A66" t="str">
        <f>Master_60!B46</f>
        <v>스타시티아트홀 제2후보</v>
      </c>
      <c r="B66" t="str">
        <f>Master_60!AF46</f>
        <v>https://starcityarthall.com/</v>
      </c>
      <c r="C66">
        <f>Master_60!AG46</f>
        <v>66.599999999999994</v>
      </c>
      <c r="D66" t="str">
        <f>Master_60!C46</f>
        <v>광진구</v>
      </c>
    </row>
  </sheetData>
  <mergeCells count="1">
    <mergeCell ref="A1:J1"/>
  </mergeCells>
  <phoneticPr fontId="8" type="noConversion"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6"/>
  <sheetViews>
    <sheetView showGridLines="0" workbookViewId="0"/>
  </sheetViews>
  <sheetFormatPr baseColWidth="10" defaultColWidth="8.83203125" defaultRowHeight="17"/>
  <sheetData>
    <row r="1" spans="1:3">
      <c r="A1" t="s">
        <v>327</v>
      </c>
      <c r="B1" t="s">
        <v>313</v>
      </c>
      <c r="C1" t="s">
        <v>314</v>
      </c>
    </row>
    <row r="2" spans="1:3">
      <c r="A2" t="s">
        <v>84</v>
      </c>
      <c r="B2">
        <v>55</v>
      </c>
      <c r="C2">
        <v>65</v>
      </c>
    </row>
    <row r="3" spans="1:3">
      <c r="A3" t="s">
        <v>110</v>
      </c>
      <c r="B3">
        <v>55</v>
      </c>
      <c r="C3">
        <v>60</v>
      </c>
    </row>
    <row r="4" spans="1:3">
      <c r="A4" t="s">
        <v>120</v>
      </c>
      <c r="B4">
        <v>52</v>
      </c>
      <c r="C4">
        <v>56</v>
      </c>
    </row>
    <row r="5" spans="1:3">
      <c r="A5" t="s">
        <v>125</v>
      </c>
      <c r="B5">
        <v>60</v>
      </c>
      <c r="C5">
        <v>58</v>
      </c>
    </row>
    <row r="6" spans="1:3">
      <c r="A6" t="s">
        <v>132</v>
      </c>
      <c r="B6">
        <v>67</v>
      </c>
      <c r="C6">
        <v>58</v>
      </c>
    </row>
    <row r="7" spans="1:3">
      <c r="A7" t="s">
        <v>138</v>
      </c>
      <c r="B7">
        <v>63</v>
      </c>
      <c r="C7">
        <v>62</v>
      </c>
    </row>
    <row r="8" spans="1:3">
      <c r="A8" t="s">
        <v>328</v>
      </c>
      <c r="B8">
        <v>69</v>
      </c>
      <c r="C8">
        <v>63</v>
      </c>
    </row>
    <row r="9" spans="1:3">
      <c r="A9" t="s">
        <v>329</v>
      </c>
      <c r="B9">
        <v>59</v>
      </c>
      <c r="C9">
        <v>67</v>
      </c>
    </row>
    <row r="10" spans="1:3">
      <c r="A10" t="s">
        <v>330</v>
      </c>
      <c r="B10">
        <v>57</v>
      </c>
      <c r="C10">
        <v>72</v>
      </c>
    </row>
    <row r="11" spans="1:3">
      <c r="A11" t="s">
        <v>331</v>
      </c>
      <c r="B11">
        <v>62</v>
      </c>
      <c r="C11">
        <v>78</v>
      </c>
    </row>
    <row r="12" spans="1:3">
      <c r="A12" t="s">
        <v>332</v>
      </c>
      <c r="B12">
        <v>70</v>
      </c>
      <c r="C12">
        <v>75</v>
      </c>
    </row>
    <row r="13" spans="1:3">
      <c r="A13" t="s">
        <v>333</v>
      </c>
      <c r="B13">
        <v>45</v>
      </c>
      <c r="C13">
        <v>68</v>
      </c>
    </row>
    <row r="14" spans="1:3">
      <c r="A14" t="s">
        <v>334</v>
      </c>
      <c r="B14">
        <v>47</v>
      </c>
      <c r="C14">
        <v>63</v>
      </c>
    </row>
    <row r="15" spans="1:3">
      <c r="A15" t="s">
        <v>142</v>
      </c>
      <c r="B15">
        <v>45</v>
      </c>
      <c r="C15">
        <v>58</v>
      </c>
    </row>
    <row r="16" spans="1:3">
      <c r="A16" t="s">
        <v>298</v>
      </c>
      <c r="B16">
        <v>38</v>
      </c>
      <c r="C16">
        <v>50</v>
      </c>
    </row>
    <row r="17" spans="1:3">
      <c r="A17" t="s">
        <v>182</v>
      </c>
      <c r="B17">
        <v>31</v>
      </c>
      <c r="C17">
        <v>52</v>
      </c>
    </row>
    <row r="18" spans="1:3">
      <c r="A18" t="s">
        <v>171</v>
      </c>
      <c r="B18">
        <v>36</v>
      </c>
      <c r="C18">
        <v>45</v>
      </c>
    </row>
    <row r="19" spans="1:3">
      <c r="A19" t="s">
        <v>335</v>
      </c>
      <c r="B19">
        <v>40</v>
      </c>
      <c r="C19">
        <v>41</v>
      </c>
    </row>
    <row r="20" spans="1:3">
      <c r="A20" t="s">
        <v>152</v>
      </c>
      <c r="B20">
        <v>42</v>
      </c>
      <c r="C20">
        <v>48</v>
      </c>
    </row>
    <row r="21" spans="1:3">
      <c r="A21" t="s">
        <v>297</v>
      </c>
      <c r="B21">
        <v>48</v>
      </c>
      <c r="C21">
        <v>49</v>
      </c>
    </row>
    <row r="22" spans="1:3">
      <c r="A22" t="s">
        <v>336</v>
      </c>
      <c r="B22">
        <v>46</v>
      </c>
      <c r="C22">
        <v>42</v>
      </c>
    </row>
    <row r="23" spans="1:3">
      <c r="A23" t="s">
        <v>187</v>
      </c>
      <c r="B23">
        <v>56</v>
      </c>
      <c r="C23">
        <v>44</v>
      </c>
    </row>
    <row r="24" spans="1:3">
      <c r="A24" t="s">
        <v>209</v>
      </c>
      <c r="B24">
        <v>62</v>
      </c>
      <c r="C24">
        <v>45</v>
      </c>
    </row>
    <row r="25" spans="1:3">
      <c r="A25" t="s">
        <v>268</v>
      </c>
      <c r="B25">
        <v>68</v>
      </c>
      <c r="C25">
        <v>46</v>
      </c>
    </row>
    <row r="26" spans="1:3">
      <c r="A26" t="s">
        <v>294</v>
      </c>
      <c r="B26">
        <v>74</v>
      </c>
      <c r="C26">
        <v>50</v>
      </c>
    </row>
  </sheetData>
  <phoneticPr fontId="8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8"/>
  <sheetViews>
    <sheetView showGridLines="0" workbookViewId="0"/>
  </sheetViews>
  <sheetFormatPr baseColWidth="10" defaultColWidth="8.83203125" defaultRowHeight="17"/>
  <cols>
    <col min="1" max="1" width="18" customWidth="1"/>
    <col min="2" max="2" width="12" customWidth="1"/>
  </cols>
  <sheetData>
    <row r="1" spans="1:2" ht="20">
      <c r="A1" s="6" t="s">
        <v>337</v>
      </c>
    </row>
    <row r="3" spans="1:2">
      <c r="A3" s="2" t="s">
        <v>338</v>
      </c>
      <c r="B3" s="7">
        <v>0.25</v>
      </c>
    </row>
    <row r="4" spans="1:2">
      <c r="A4" s="2" t="s">
        <v>339</v>
      </c>
      <c r="B4" s="7">
        <v>0.1</v>
      </c>
    </row>
    <row r="5" spans="1:2">
      <c r="A5" s="2" t="s">
        <v>340</v>
      </c>
      <c r="B5" s="7">
        <v>0.15</v>
      </c>
    </row>
    <row r="6" spans="1:2">
      <c r="A6" s="2" t="s">
        <v>341</v>
      </c>
      <c r="B6" s="7">
        <v>0.2</v>
      </c>
    </row>
    <row r="7" spans="1:2">
      <c r="A7" s="2" t="s">
        <v>342</v>
      </c>
      <c r="B7" s="7">
        <v>0.15</v>
      </c>
    </row>
    <row r="8" spans="1:2">
      <c r="A8" s="2" t="s">
        <v>343</v>
      </c>
      <c r="B8" s="7">
        <v>0.15</v>
      </c>
    </row>
  </sheetData>
  <phoneticPr fontId="8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2"/>
  <sheetViews>
    <sheetView showGridLines="0" workbookViewId="0">
      <selection activeCell="E7" sqref="E7"/>
    </sheetView>
  </sheetViews>
  <sheetFormatPr baseColWidth="10" defaultColWidth="8.83203125" defaultRowHeight="17"/>
  <cols>
    <col min="1" max="1" width="18" customWidth="1"/>
    <col min="2" max="2" width="16" customWidth="1"/>
  </cols>
  <sheetData>
    <row r="1" spans="1:2" ht="20">
      <c r="A1" s="6" t="s">
        <v>344</v>
      </c>
    </row>
    <row r="3" spans="1:2">
      <c r="A3" s="8" t="s">
        <v>345</v>
      </c>
      <c r="B3">
        <v>200</v>
      </c>
    </row>
    <row r="4" spans="1:2">
      <c r="A4" s="8" t="s">
        <v>346</v>
      </c>
      <c r="B4" s="9">
        <v>100000</v>
      </c>
    </row>
    <row r="5" spans="1:2">
      <c r="A5" s="8" t="s">
        <v>52</v>
      </c>
      <c r="B5" s="9">
        <v>10000000</v>
      </c>
    </row>
    <row r="6" spans="1:2">
      <c r="A6" s="8" t="s">
        <v>53</v>
      </c>
      <c r="B6" s="9">
        <v>0</v>
      </c>
    </row>
    <row r="7" spans="1:2">
      <c r="A7" s="8" t="s">
        <v>54</v>
      </c>
      <c r="B7" s="9">
        <v>0</v>
      </c>
    </row>
    <row r="8" spans="1:2">
      <c r="A8" s="8" t="s">
        <v>347</v>
      </c>
      <c r="B8" s="10">
        <v>0.1</v>
      </c>
    </row>
    <row r="10" spans="1:2">
      <c r="A10" s="1" t="s">
        <v>348</v>
      </c>
      <c r="B10" s="9">
        <f>B3*B4</f>
        <v>20000000</v>
      </c>
    </row>
    <row r="11" spans="1:2">
      <c r="A11" s="1" t="s">
        <v>307</v>
      </c>
      <c r="B11" s="9">
        <f>SUM(B10,B5:B7)</f>
        <v>30000000</v>
      </c>
    </row>
    <row r="12" spans="1:2">
      <c r="A12" s="1" t="s">
        <v>349</v>
      </c>
      <c r="B12" s="9">
        <f>B11*B8</f>
        <v>3000000</v>
      </c>
    </row>
  </sheetData>
  <phoneticPr fontId="8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9"/>
  <sheetViews>
    <sheetView showGridLines="0" workbookViewId="0"/>
  </sheetViews>
  <sheetFormatPr baseColWidth="10" defaultColWidth="8.83203125" defaultRowHeight="17"/>
  <cols>
    <col min="1" max="1" width="18" customWidth="1"/>
    <col min="2" max="2" width="12" customWidth="1"/>
  </cols>
  <sheetData>
    <row r="1" spans="1:2" ht="20">
      <c r="A1" s="6" t="s">
        <v>350</v>
      </c>
    </row>
    <row r="3" spans="1:2">
      <c r="A3" s="11" t="s">
        <v>351</v>
      </c>
      <c r="B3" s="11" t="s">
        <v>352</v>
      </c>
    </row>
    <row r="4" spans="1:2">
      <c r="A4" t="s">
        <v>353</v>
      </c>
      <c r="B4">
        <f>COUNTIF(Master_60!AJ2:AJ46,"강남권")</f>
        <v>24</v>
      </c>
    </row>
    <row r="5" spans="1:2">
      <c r="A5" t="s">
        <v>354</v>
      </c>
      <c r="B5">
        <f>COUNTIF(Master_60!AJ2:AJ46,"비강남권")</f>
        <v>21</v>
      </c>
    </row>
    <row r="6" spans="1:2">
      <c r="A6" t="s">
        <v>88</v>
      </c>
      <c r="B6">
        <f>COUNTIF(Master_60!G2:G46,"밝은홀")</f>
        <v>19</v>
      </c>
    </row>
    <row r="7" spans="1:2">
      <c r="A7" t="s">
        <v>166</v>
      </c>
      <c r="B7">
        <f>COUNTIF(Master_60!G2:G46,"어두운홀")</f>
        <v>14</v>
      </c>
    </row>
    <row r="8" spans="1:2">
      <c r="A8" t="s">
        <v>197</v>
      </c>
      <c r="B8">
        <f>COUNTIF(Master_60!G2:G46,"혼합")</f>
        <v>12</v>
      </c>
    </row>
    <row r="9" spans="1:2">
      <c r="A9" t="s">
        <v>355</v>
      </c>
      <c r="B9">
        <f>COUNTIF(Master_60!X2:X46,"확인")</f>
        <v>28</v>
      </c>
    </row>
  </sheetData>
  <phoneticPr fontId="8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README</vt:lpstr>
      <vt:lpstr>Dashboard</vt:lpstr>
      <vt:lpstr>Master_60</vt:lpstr>
      <vt:lpstr>Shortlist</vt:lpstr>
      <vt:lpstr>Map_View</vt:lpstr>
      <vt:lpstr>District_Centers</vt:lpstr>
      <vt:lpstr>Assumptions</vt:lpstr>
      <vt:lpstr>Budget_Simulator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김도현</cp:lastModifiedBy>
  <dcterms:created xsi:type="dcterms:W3CDTF">2026-03-08T08:56:34Z</dcterms:created>
  <dcterms:modified xsi:type="dcterms:W3CDTF">2026-05-31T14:36:00Z</dcterms:modified>
</cp:coreProperties>
</file>